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CPT project\CPT dataset paper\repository-CPT-dataset-alpha-ICST-2026\"/>
    </mc:Choice>
  </mc:AlternateContent>
  <xr:revisionPtr revIDLastSave="0" documentId="13_ncr:1_{EB0C1318-09F9-4799-9BCA-99CEAB3B496C}" xr6:coauthVersionLast="47" xr6:coauthVersionMax="47" xr10:uidLastSave="{00000000-0000-0000-0000-000000000000}"/>
  <bookViews>
    <workbookView xWindow="-6150" yWindow="-21720" windowWidth="38640" windowHeight="21120" xr2:uid="{8565883A-39B4-4ABD-93BD-118662CB21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/>
  <c r="A74" i="1"/>
  <c r="A4" i="1"/>
  <c r="A5" i="1"/>
  <c r="A6" i="1"/>
  <c r="A7" i="1"/>
  <c r="A75" i="1"/>
  <c r="A8" i="1"/>
  <c r="A9" i="1"/>
  <c r="A10" i="1"/>
  <c r="A11" i="1"/>
  <c r="A12" i="1"/>
  <c r="A76" i="1"/>
  <c r="A77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78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79" i="1"/>
  <c r="A86" i="1"/>
  <c r="A80" i="1"/>
  <c r="A81" i="1"/>
  <c r="A41" i="1"/>
  <c r="A42" i="1"/>
  <c r="A87" i="1"/>
  <c r="A82" i="1"/>
  <c r="A43" i="1"/>
  <c r="A44" i="1"/>
  <c r="A45" i="1"/>
  <c r="A46" i="1"/>
  <c r="A47" i="1"/>
  <c r="A48" i="1"/>
  <c r="A49" i="1"/>
  <c r="A50" i="1"/>
  <c r="A51" i="1"/>
  <c r="A83" i="1"/>
  <c r="A52" i="1"/>
  <c r="A53" i="1"/>
  <c r="A54" i="1"/>
  <c r="A55" i="1"/>
  <c r="A56" i="1"/>
  <c r="A84" i="1"/>
  <c r="A57" i="1"/>
  <c r="A58" i="1"/>
  <c r="A59" i="1"/>
  <c r="A60" i="1"/>
  <c r="A61" i="1"/>
  <c r="A62" i="1"/>
  <c r="A63" i="1"/>
  <c r="A64" i="1"/>
  <c r="A65" i="1"/>
  <c r="A66" i="1"/>
  <c r="A85" i="1"/>
  <c r="A67" i="1"/>
  <c r="A68" i="1"/>
  <c r="A69" i="1"/>
  <c r="A70" i="1"/>
  <c r="A71" i="1"/>
  <c r="A72" i="1"/>
  <c r="A73" i="1"/>
</calcChain>
</file>

<file path=xl/sharedStrings.xml><?xml version="1.0" encoding="utf-8"?>
<sst xmlns="http://schemas.openxmlformats.org/spreadsheetml/2006/main" count="348" uniqueCount="252">
  <si>
    <t>id</t>
  </si>
  <si>
    <t>System</t>
  </si>
  <si>
    <t>DOI / url</t>
  </si>
  <si>
    <t>Algorithm design</t>
  </si>
  <si>
    <t>1_easy_existing_workflow</t>
  </si>
  <si>
    <t>A pathfinding algorithm in real-time strategy game based on Unity3D</t>
  </si>
  <si>
    <t>https://doi.org/10.1109/ICALIP.2012.6376792</t>
  </si>
  <si>
    <t>2_easy_existing_workflow</t>
  </si>
  <si>
    <t>A review on artificial intelligence techniques in electrical drives: Neural networks, fuzzy logic, and genetic algorithm</t>
  </si>
  <si>
    <t>https://doi.org/10.1109/SmartTechCon.2017.8358335</t>
  </si>
  <si>
    <t>Healthcare processes</t>
  </si>
  <si>
    <t>101_medium_existing_workflow</t>
  </si>
  <si>
    <t>A Social Force-Based Model for Pedestrian Evacuation with Static Guidance in Emergency Situations</t>
  </si>
  <si>
    <t>https://doi.org/10.3390/fire8010030</t>
  </si>
  <si>
    <t>Business processes</t>
  </si>
  <si>
    <t>3_easy_existing_workflow</t>
  </si>
  <si>
    <t>Activity Diagram for Hotel Room Booking</t>
  </si>
  <si>
    <t>https://itsourcecode.com/uml/activity-diagram-for-hotel-room-booking/</t>
  </si>
  <si>
    <t>Development methodology</t>
  </si>
  <si>
    <t>4_easy_existing_workflow</t>
  </si>
  <si>
    <t>Agile Methodologies Applied to the Development of Internet of Things (IoT)-Based Systems: A Review</t>
  </si>
  <si>
    <t>https://doi.org/10.3390/s23020790</t>
  </si>
  <si>
    <t>Smart agriculture</t>
  </si>
  <si>
    <t>5_easy_existing_workflow</t>
  </si>
  <si>
    <t>Smart Agriculture Using IoT</t>
  </si>
  <si>
    <t>http://dx.doi.org/10.13140/RG.2.2.17522.86726</t>
  </si>
  <si>
    <t>6_easy_existing_workflow</t>
  </si>
  <si>
    <t>Analysis of Loan Application Process Using Process Mining</t>
  </si>
  <si>
    <t>https://portal.so.ucr.ac.cr/sites/default/files/documents/2017_Analysis%20of%20Loan%20Application%20Process%20Using%20Process%20Mining.pdf</t>
  </si>
  <si>
    <t>Situational Awareness Systems</t>
  </si>
  <si>
    <t>102_medium_existing_workflow</t>
  </si>
  <si>
    <t>AR-Rescue</t>
  </si>
  <si>
    <t>https://doi.org/10.1109/ICDH67620.2025.00036</t>
  </si>
  <si>
    <t>7_easy_existing_workflow</t>
  </si>
  <si>
    <t>Assessment of shop floor layouts in the context of process plans with alternatives</t>
  </si>
  <si>
    <t>https://doi.org/10.1590/0103-6513.20180078</t>
  </si>
  <si>
    <t>8_easy_existing_workflow</t>
  </si>
  <si>
    <t>Automated Smart Hydroponic System using Internet of Things</t>
  </si>
  <si>
    <t>http://doi.org/10.11591/ijece.v10i6.pp6389-6398</t>
  </si>
  <si>
    <t>Autonomous vehicles</t>
  </si>
  <si>
    <t>9_easy_existing_workflow</t>
  </si>
  <si>
    <t>Designing an Autonomous Vehicle Using Sensor Fusion Based on Path Planning and Deep Learning Algorithms</t>
  </si>
  <si>
    <t>http://dx.doi.org/10.23919/SAIEE.2024.10551314</t>
  </si>
  <si>
    <t>Energy monitoring sensor network</t>
  </si>
  <si>
    <t>10_easy_existing_workflow</t>
  </si>
  <si>
    <t>Design and implementation of a microcontroller-based adjustable voltage automatic battery charger</t>
  </si>
  <si>
    <t>http://dx.doi.org/10.4314/njt.v36i4.32</t>
  </si>
  <si>
    <t>11_easy_existing_workflow</t>
  </si>
  <si>
    <t>Validation of business process models using swimlane diagrams</t>
  </si>
  <si>
    <t>https://corescholar.libraries.wright.edu/infosys_scm/114/</t>
  </si>
  <si>
    <t>103_medium_existing_workflow</t>
  </si>
  <si>
    <t>104_medium_existing_workflow</t>
  </si>
  <si>
    <t>Autonomous Car Implementation Based on CAN Bus Protocol for IoT Applications</t>
  </si>
  <si>
    <t>http://dx.doi.org/10.1109/ICCES.2018.8639206</t>
  </si>
  <si>
    <t>12_easy_existing_workflow</t>
  </si>
  <si>
    <t>13_easy_existing_workflow</t>
  </si>
  <si>
    <t>A smart IoT based system for monitoring and controlling the sub-station equipment</t>
  </si>
  <si>
    <t>https://doi.org/10.1016/j.iot.2019.100085</t>
  </si>
  <si>
    <t>14_easy_existing_workflow</t>
  </si>
  <si>
    <t>Lifetime Modelling of Lead Acid Batteries</t>
  </si>
  <si>
    <t>https://www.researchgate.net/publication/246687286_Lifetime_Modelling_of_Lead_Acid_Batteries</t>
  </si>
  <si>
    <t>Transportation</t>
  </si>
  <si>
    <t>15_easy_existing_workflow</t>
  </si>
  <si>
    <t>A decentralized approach to formation flight routing of long-haul commercial flights</t>
  </si>
  <si>
    <t>https://doi.org/10.1177/0954410018791068</t>
  </si>
  <si>
    <t>16_easy_existing_workflow</t>
  </si>
  <si>
    <t>Reducing energy vulnerability based on energy services in the residential homes</t>
  </si>
  <si>
    <t>http://dx.doi.org/10.1007/s12667-023-00610-2</t>
  </si>
  <si>
    <t>Robot control diagram</t>
  </si>
  <si>
    <t>17_easy_existing_workflow</t>
  </si>
  <si>
    <t>Development of a vacuum cleaner robot</t>
  </si>
  <si>
    <t>https://doi.org/10.1016/j.aej.2018.07.005</t>
  </si>
  <si>
    <t>Robotic process automation</t>
  </si>
  <si>
    <t>18_easy_existing_workflow</t>
  </si>
  <si>
    <t>Development of Robotic Process Automation for Scraping Prospective Customer Data and Implementation Haversine in PT. XYZ</t>
  </si>
  <si>
    <t>https://doi.org/10.25126/jitecs.202381434</t>
  </si>
  <si>
    <t>Vital signs measurement</t>
  </si>
  <si>
    <t>19_easy_existing_workflow</t>
  </si>
  <si>
    <t>Digital Triage Assistant</t>
  </si>
  <si>
    <t>https://cs.felk.cvut.cz/en/page/digital-triage-assistant</t>
  </si>
  <si>
    <t>20_easy_existing_workflow</t>
  </si>
  <si>
    <t>21_easy_existing_workflow</t>
  </si>
  <si>
    <t>22_easy_existing_workflow</t>
  </si>
  <si>
    <t>23_easy_existing_workflow</t>
  </si>
  <si>
    <t>Configuration Study of Electric Helicopters for Urban Air Mobility</t>
  </si>
  <si>
    <t>https://doi.org/10.3390/aerospace8020054</t>
  </si>
  <si>
    <t>24_easy_existing_workflow</t>
  </si>
  <si>
    <t>IoT based real time energy monitoring system using Raspberry Pi</t>
  </si>
  <si>
    <t>https://doi.org/10.1016/j.iot.2020.100292</t>
  </si>
  <si>
    <t>Smart city</t>
  </si>
  <si>
    <t>105_medium_existing_workflow</t>
  </si>
  <si>
    <t>An integrated fire detection system using IoT and image processing technique for smart cities</t>
  </si>
  <si>
    <t>https://doi.org/10.1016/j.scs.2020.102332</t>
  </si>
  <si>
    <t>Measuring of environmental parameters</t>
  </si>
  <si>
    <t>25_easy_existing_workflow</t>
  </si>
  <si>
    <t>IoT Based System for Monitoring and Control of Gas Leaking</t>
  </si>
  <si>
    <t>https://doi.org/10.1109/ICITAMEE50454.2020.9398384</t>
  </si>
  <si>
    <t>26_easy_existing_workflow</t>
  </si>
  <si>
    <t>27_easy_existing_workflow</t>
  </si>
  <si>
    <t>Guided Reasoning of Complex E-Business Process with Business Bug Patterns</t>
  </si>
  <si>
    <t>https://doi.org/10.1109/ICEBE.2006.54</t>
  </si>
  <si>
    <t>Home automation</t>
  </si>
  <si>
    <t>28_easy_existing_workflow</t>
  </si>
  <si>
    <t>Implementation and Analysis of an IoT-Based Home Automation Framework</t>
  </si>
  <si>
    <t>https://doi.org/10.4236/jcc.2021.93011</t>
  </si>
  <si>
    <t>Cyber-security</t>
  </si>
  <si>
    <t>29_easy_existing_workflow</t>
  </si>
  <si>
    <t>IoT Multi-Vector Cyberattack Detection Based on Machine Learning Algorithms: Traffic Features Analysis, Experiments, and Efficiency</t>
  </si>
  <si>
    <t>https://doi.org/10.3390/a15070239</t>
  </si>
  <si>
    <t>IoT Framework</t>
  </si>
  <si>
    <t>30_easy_existing_workflow</t>
  </si>
  <si>
    <t>Software-Defined Dew, Roof, Fog and Cloud (SD-DRFC) Framework for IoT Ecosystem: The Journey, Novel Framework Architecture, Simulation, and Use Cases</t>
  </si>
  <si>
    <t>https://doi.org/10.1007/s42979-021-00521-y</t>
  </si>
  <si>
    <t>31_easy_existing_workflow</t>
  </si>
  <si>
    <t>Cost Effective Smart Hydroponic Monitoring and Controlling System Using IoT</t>
  </si>
  <si>
    <t>http://dx.doi.org/10.4236/ica.2019.104010</t>
  </si>
  <si>
    <t>32_easy_existing_workflow</t>
  </si>
  <si>
    <t>Smart Garbage Segregator and IoT Based Waste Collection system</t>
  </si>
  <si>
    <t>https://doi.org/10.1109/ICACITE51222.2021.9404692</t>
  </si>
  <si>
    <t>33_easy_existing_workflow</t>
  </si>
  <si>
    <t>IoT for human safety</t>
  </si>
  <si>
    <t>34_easy_existing_workflow</t>
  </si>
  <si>
    <t>An IoT-Based Mobile System for Safety Monitoring of Lone Workers</t>
  </si>
  <si>
    <t>https://doi.org/10.3390/iot2030024</t>
  </si>
  <si>
    <t>35_easy_existing_workflow</t>
  </si>
  <si>
    <t>36_easy_existing_workflow</t>
  </si>
  <si>
    <t>Data-driven iot-based water quality monitoring and potability classification system in rural areas</t>
  </si>
  <si>
    <t>https://doi.org/10.1109/ICTC49870.2020.9289512</t>
  </si>
  <si>
    <t>37_easy_existing_workflow</t>
  </si>
  <si>
    <t>Internet of Things-Based Intelligent Smart Home Control System</t>
  </si>
  <si>
    <t>https://doi.org/10.1155/2021/9928254</t>
  </si>
  <si>
    <t>38_easy_existing_workflow</t>
  </si>
  <si>
    <t>Smart irrigation system for environmental sustainability in Africa: An Internet of Everything (IoE) approach</t>
  </si>
  <si>
    <t>https://doi.org/10.3934/mbe.2019273</t>
  </si>
  <si>
    <t>39_easy_existing_workflow</t>
  </si>
  <si>
    <t>LoRa and Server Based Home Automation using the Internet of Things</t>
  </si>
  <si>
    <t>https://doi.org/10.1016/j.jksuci.2020.12.020</t>
  </si>
  <si>
    <t>106_medium_existing_workflow</t>
  </si>
  <si>
    <t>A Low-Cost Home Automation System Based-On Internet of Things</t>
  </si>
  <si>
    <t>https://jtec.utem.edu.my/jtec/article/view/2379</t>
  </si>
  <si>
    <t>Critical system</t>
  </si>
  <si>
    <t>201_hard_existing_workflow</t>
  </si>
  <si>
    <t>107_medium_existing_workflow</t>
  </si>
  <si>
    <t>108_medium_existing_workflow</t>
  </si>
  <si>
    <t>40_easy_existing_workflow</t>
  </si>
  <si>
    <t>41_easy_existing_workflow</t>
  </si>
  <si>
    <t>202_hard_existing_workflow</t>
  </si>
  <si>
    <t>109_medium_existing_workflow</t>
  </si>
  <si>
    <t>42_easy_existing_workflow</t>
  </si>
  <si>
    <t>A Unified Metering System Deployed for Water and Energy Monitoring in Smart City</t>
  </si>
  <si>
    <t>https://doi.org/10.1109/ACCESS.2023.3299825</t>
  </si>
  <si>
    <t>43_easy_existing_workflow</t>
  </si>
  <si>
    <t>Scheduling</t>
  </si>
  <si>
    <t>44_easy_existing_workflow</t>
  </si>
  <si>
    <t>Intelligent workflow scheduling for Big Data applications in IoT cloud computing environments</t>
  </si>
  <si>
    <t>https://doi.org/10.1007/s10586-021-03291-7</t>
  </si>
  <si>
    <t>45_easy_existing_workflow</t>
  </si>
  <si>
    <t>Multiparametric Monitoring in Equatorian Tomato Greenhouses (I): Wireless Sensor Network Benchmarking</t>
  </si>
  <si>
    <t>https://doi.org/10.3390/s18082555</t>
  </si>
  <si>
    <t>46_easy_existing_workflow</t>
  </si>
  <si>
    <t>47_easy_existing_workflow</t>
  </si>
  <si>
    <t>48_easy_existing_workflow</t>
  </si>
  <si>
    <t>Multi-Parameter Cardiac Remote Monitoring System based on Android</t>
  </si>
  <si>
    <t>https://doi.org/10.18831/djcse.in/2016021003</t>
  </si>
  <si>
    <t>49_easy_existing_workflow</t>
  </si>
  <si>
    <t>Online Medical Appointment Scheduling System</t>
  </si>
  <si>
    <t>https://riunet.upv.es/handle/10251/88831</t>
  </si>
  <si>
    <t>Automation in transportation</t>
  </si>
  <si>
    <t>50_easy_existing_workflow</t>
  </si>
  <si>
    <t>E-Parking Reservation system based on IoT for smart cities</t>
  </si>
  <si>
    <t>http://dx.doi.org/10.15680/IJIRSET.2019.0802044</t>
  </si>
  <si>
    <t>110_medium_existing_workflow</t>
  </si>
  <si>
    <t>A qualitative exploration of patient flow in a developing Caribbean emergency department</t>
  </si>
  <si>
    <t>https://doi.org/10.1101/2020.05.29.20110759</t>
  </si>
  <si>
    <t>Localization</t>
  </si>
  <si>
    <t>51_easy_existing_workflow</t>
  </si>
  <si>
    <t>IoT-based rescue-mission planning and management system</t>
  </si>
  <si>
    <t>https://www.policie.cz/clanek/projekt-patrac.aspx</t>
  </si>
  <si>
    <t>52_easy_existing_workflow</t>
  </si>
  <si>
    <t>53_easy_existing_workflow</t>
  </si>
  <si>
    <t>54_easy_existing_workflow</t>
  </si>
  <si>
    <t>Prioritized Process Test: An Alternative to Current Process Testing Strategies</t>
  </si>
  <si>
    <t>https://doi.org/10.1142/S0218194019500335</t>
  </si>
  <si>
    <t>55_easy_existing_workflow</t>
  </si>
  <si>
    <t>Product assembly quality inspection of gap spacing using machine vision and human-centered AR visualization</t>
  </si>
  <si>
    <t>https://doi.org/10.1016/j.cie.2025.111531</t>
  </si>
  <si>
    <t>111_medium_existing_workflow</t>
  </si>
  <si>
    <t>Towards Autonomy in Agriculture: Design and Prototyping of a Robotic Vehicle with Seed Selector</t>
  </si>
  <si>
    <t>http://dx.doi.org/10.1109/ICRAI.2016.7791225</t>
  </si>
  <si>
    <t>56_easy_existing_workflow</t>
  </si>
  <si>
    <t>57_easy_existing_workflow</t>
  </si>
  <si>
    <t>Iot Based Smart Helmet for Mining Industry Application</t>
  </si>
  <si>
    <t>https://www.researchgate.net/publication/340261013_Iot_Based_Smart_Helmet_for_Mining_Industry_Application</t>
  </si>
  <si>
    <t>58_easy_existing_workflow</t>
  </si>
  <si>
    <t>Smart Agricultural System - IoT</t>
  </si>
  <si>
    <t>https://github.com/PremKumarAmbrose/Smart-Agriculture-system-IoT-Arduino-YUN</t>
  </si>
  <si>
    <t>59_easy_existing_workflow</t>
  </si>
  <si>
    <t>Smart Homes using Internet of Things</t>
  </si>
  <si>
    <t>https://www.irjet.net/archives/V7/i12/IRJET-V7I12363.pdf</t>
  </si>
  <si>
    <t>60_easy_existing_workflow</t>
  </si>
  <si>
    <t>Smart water consumption measurement system for houses using IoT and cloud computing</t>
  </si>
  <si>
    <t>https://doi.org/10.1007/s10661-020-08535-4</t>
  </si>
  <si>
    <t>61_easy_existing_workflow</t>
  </si>
  <si>
    <t>Software Process Improvement Tools Implementation</t>
  </si>
  <si>
    <t>https://dspace.cvut.cz/handle/10467/76246</t>
  </si>
  <si>
    <t>62_easy_existing_workflow</t>
  </si>
  <si>
    <t>Using Business Process Modelling to Improve Student Recruitment in UK Higher Education</t>
  </si>
  <si>
    <t>https://link.springer.com/chapter/10.1007/978-3-030-04849-5_11</t>
  </si>
  <si>
    <t>Telerehabilitation</t>
  </si>
  <si>
    <t>63_easy_existing_workflow</t>
  </si>
  <si>
    <t>A Sensor Network Utilizing Consumer Wearables for Telerehabilitation of Post-Acute COVID-19 Patients</t>
  </si>
  <si>
    <t>https://doi.org/10.1109/jiot.2022.3188913</t>
  </si>
  <si>
    <t>64_easy_existing_workflow</t>
  </si>
  <si>
    <t>WiFi-Based Home IoT Communication System</t>
  </si>
  <si>
    <t>https://doi.org/10.6109/jicce.2020.18.1.8</t>
  </si>
  <si>
    <t>65_easy_existing_workflow</t>
  </si>
  <si>
    <t>The Control System Design of Aircraft Wheel Device of Driving Rotary</t>
  </si>
  <si>
    <t>https://doi.org/10.1088/1742-6596/1986/1/012102</t>
  </si>
  <si>
    <t>112_medium_existing_workflow</t>
  </si>
  <si>
    <t>Tool support for verifying UML activity diagrams</t>
  </si>
  <si>
    <t>https://doi.org/10.1109/TSE.2004.33</t>
  </si>
  <si>
    <t>Digitalized state administration</t>
  </si>
  <si>
    <t>66_easy_existing_workflow</t>
  </si>
  <si>
    <t>Translation Center</t>
  </si>
  <si>
    <t>https://cdt.europa.eu/en/centres-workflow</t>
  </si>
  <si>
    <t>67_easy_existing_workflow</t>
  </si>
  <si>
    <t>Vkládání posudků</t>
  </si>
  <si>
    <t>https://procesy.is.cvut.cz/process.xhtml?pid=19674&amp;tenant=7&amp;type=process</t>
  </si>
  <si>
    <t>68_easy_existing_workflow</t>
  </si>
  <si>
    <t>Voice and Gesture Based Smart Home Automation using Raspberry PI</t>
  </si>
  <si>
    <t>https://www.jetir.org/papers/JETIR1905I66.pdf</t>
  </si>
  <si>
    <t>69_easy_existing_workflow</t>
  </si>
  <si>
    <t>Web-based Smart Home Automation: PLCcontrolled Implementation</t>
  </si>
  <si>
    <t>https://aperta.ulakbim.gov.tr/record/66347</t>
  </si>
  <si>
    <t>Computer networks</t>
  </si>
  <si>
    <t>70_easy_existing_workflow</t>
  </si>
  <si>
    <t>Web Service Discovery Framework</t>
  </si>
  <si>
    <t>http://dx.doi.org/10.1155/2015/576463</t>
  </si>
  <si>
    <t>Environmental Monitoring</t>
  </si>
  <si>
    <t>71_easy_existing_workflow</t>
  </si>
  <si>
    <t>An Alertness-Adjustable Cloud/Fog IoT Solution for Timely Environmental Monitoring Based on Wildfire Risk Forecasting</t>
  </si>
  <si>
    <t>http://dx.doi.org/10.3390/en13143693</t>
  </si>
  <si>
    <t>72_easy_existing_workflow</t>
  </si>
  <si>
    <t>Instance name</t>
  </si>
  <si>
    <t>Critical system 1</t>
  </si>
  <si>
    <t>Source anonymized</t>
  </si>
  <si>
    <t>Critical system 6</t>
  </si>
  <si>
    <t>Critical system 7</t>
  </si>
  <si>
    <t>Critical system 3</t>
  </si>
  <si>
    <t>Critical system 2</t>
  </si>
  <si>
    <t>Critical system 4</t>
  </si>
  <si>
    <t>Critical system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</si>
</sst>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sz val="10"/>
      <name val="Roboto"/>
    </font>
    <font>
      <u/>
      <sz val="11"/>
      <name val="Aptos Narrow"/>
      <family val="2"/>
      <charset val="238"/>
      <scheme val="minor"/>
    </font>
    <font>
      <u/>
      <sz val="10"/>
      <name val="Aptos Narrow"/>
      <family val="2"/>
    </font>
    <font>
      <sz val="10"/>
      <name val="Aptos Narrow"/>
      <family val="2"/>
    </font>
    <font>
      <sz val="10"/>
      <name val="Arial"/>
      <family val="2"/>
      <charset val="238"/>
    </font>
    <font>
      <sz val="11"/>
      <name val="Aptos Narrow"/>
      <family val="2"/>
      <charset val="238"/>
      <scheme val="minor"/>
    </font>
    <font>
      <b/>
      <sz val="10"/>
      <color theme="0"/>
      <name val="Roboto"/>
    </font>
    <font>
      <sz val="10"/>
      <color theme="0"/>
      <name val="Roboto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medium">
        <color rgb="FF284E3F"/>
      </right>
      <top/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/>
      <bottom style="medium">
        <color rgb="FF284E3F"/>
      </bottom>
      <diagonal/>
    </border>
    <border>
      <left style="medium">
        <color rgb="FFCCCCCC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CCCCCC"/>
      </left>
      <right style="medium">
        <color rgb="FFD9D9D9"/>
      </right>
      <top style="medium">
        <color rgb="FFCCCCCC"/>
      </top>
      <bottom/>
      <diagonal/>
    </border>
    <border>
      <left style="medium">
        <color rgb="FFCCCCCC"/>
      </left>
      <right style="medium">
        <color rgb="FFD9D9D9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3" fillId="0" borderId="3" xfId="0" applyFont="1" applyFill="1" applyBorder="1" applyAlignment="1">
      <alignment vertical="center" wrapText="1"/>
    </xf>
    <xf numFmtId="0" fontId="4" fillId="0" borderId="3" xfId="1" applyFont="1" applyFill="1" applyBorder="1" applyAlignment="1">
      <alignment vertical="center" wrapText="1"/>
    </xf>
    <xf numFmtId="0" fontId="3" fillId="0" borderId="4" xfId="0" applyFont="1" applyFill="1" applyBorder="1" applyAlignment="1">
      <alignment vertical="center" wrapText="1"/>
    </xf>
    <xf numFmtId="0" fontId="4" fillId="0" borderId="4" xfId="1" applyFont="1" applyFill="1" applyBorder="1" applyAlignment="1">
      <alignment vertical="center" wrapText="1"/>
    </xf>
    <xf numFmtId="0" fontId="4" fillId="0" borderId="0" xfId="1" applyFont="1" applyFill="1" applyBorder="1" applyAlignment="1">
      <alignment vertical="center" wrapText="1"/>
    </xf>
    <xf numFmtId="0" fontId="5" fillId="0" borderId="3" xfId="0" applyFont="1" applyFill="1" applyBorder="1" applyAlignment="1">
      <alignment wrapText="1"/>
    </xf>
    <xf numFmtId="0" fontId="6" fillId="0" borderId="3" xfId="0" applyFont="1" applyFill="1" applyBorder="1" applyAlignment="1">
      <alignment wrapText="1"/>
    </xf>
    <xf numFmtId="0" fontId="7" fillId="0" borderId="3" xfId="0" applyFont="1" applyFill="1" applyBorder="1" applyAlignment="1">
      <alignment vertical="center" wrapText="1"/>
    </xf>
    <xf numFmtId="0" fontId="4" fillId="0" borderId="3" xfId="1" applyFont="1" applyFill="1" applyBorder="1" applyAlignment="1">
      <alignment wrapText="1"/>
    </xf>
    <xf numFmtId="0" fontId="9" fillId="0" borderId="2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vertical="center" wrapText="1"/>
    </xf>
    <xf numFmtId="0" fontId="1" fillId="0" borderId="0" xfId="0" applyFont="1"/>
    <xf numFmtId="0" fontId="7" fillId="0" borderId="4" xfId="0" applyFont="1" applyFill="1" applyBorder="1" applyAlignment="1">
      <alignment vertical="center" wrapText="1"/>
    </xf>
    <xf numFmtId="0" fontId="7" fillId="0" borderId="6" xfId="0" applyFont="1" applyFill="1" applyBorder="1" applyAlignment="1">
      <alignment vertical="center" wrapText="1"/>
    </xf>
    <xf numFmtId="0" fontId="7" fillId="0" borderId="5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0" fontId="8" fillId="0" borderId="3" xfId="0" applyFont="1" applyFill="1" applyBorder="1"/>
  </cellXfs>
  <cellStyles count="2">
    <cellStyle name="Hyperlink" xfId="1" builtinId="8"/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38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D9D9D9"/>
        </right>
        <top style="medium">
          <color rgb="FFCCCCCC"/>
        </top>
        <bottom style="medium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Roboto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38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38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D9D9D9"/>
        </right>
        <top style="medium">
          <color rgb="FFCCCCCC"/>
        </top>
        <bottom style="medium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38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D9D9D9"/>
        </right>
        <top style="medium">
          <color rgb="FFCCCCCC"/>
        </top>
        <bottom style="medium">
          <color rgb="FFD9D9D9"/>
        </bottom>
      </border>
    </dxf>
    <dxf>
      <font>
        <strike val="0"/>
        <outline val="0"/>
        <shadow val="0"/>
        <vertAlign val="baseline"/>
        <color auto="1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Roboto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D9D9D9"/>
        </right>
        <top style="medium">
          <color rgb="FFCCCCCC"/>
        </top>
        <bottom style="medium">
          <color rgb="FFD9D9D9"/>
        </bottom>
      </border>
    </dxf>
    <dxf>
      <border outline="0">
        <top style="medium">
          <color rgb="FFCCCCCC"/>
        </top>
      </border>
    </dxf>
    <dxf>
      <border outline="0">
        <bottom style="medium">
          <color rgb="FF284E3F"/>
        </bottom>
      </border>
    </dxf>
    <dxf>
      <border outline="0">
        <left style="medium">
          <color rgb="FF284E3F"/>
        </left>
        <right style="medium">
          <color rgb="FF284E3F"/>
        </right>
        <top style="medium">
          <color rgb="FF284E3F"/>
        </top>
        <bottom style="medium">
          <color rgb="FF284E3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92FF2F-16F9-41B8-BF8C-5B4743914C38}" name="Table1" displayName="Table1" ref="A1:E87" totalsRowShown="0" headerRowDxfId="1" dataDxfId="2" headerRowBorderDxfId="8" tableBorderDxfId="9" totalsRowBorderDxfId="7">
  <autoFilter ref="A1:E87" xr:uid="{3392FF2F-16F9-41B8-BF8C-5B4743914C38}"/>
  <sortState xmlns:xlrd2="http://schemas.microsoft.com/office/spreadsheetml/2017/richdata2" ref="A2:E87">
    <sortCondition ref="A1:A87"/>
  </sortState>
  <tableColumns count="5">
    <tableColumn id="2" xr3:uid="{0AEC7857-487D-447B-A8B9-A7E45F0C8653}" name="id" dataDxfId="0">
      <calculatedColumnFormula>_xlfn.NUMBERVALUE(LEFT(Table1[[#This Row],[Instance name]],FIND("_",Table1[[#This Row],[Instance name]])-1))</calculatedColumnFormula>
    </tableColumn>
    <tableColumn id="8" xr3:uid="{CC017974-1090-4EF7-843F-3D760995B85F}" name="Instance name" dataDxfId="6"/>
    <tableColumn id="1" xr3:uid="{D383F827-8AF9-4F98-A4AD-F0838AA79A7B}" name="Algorithm design" dataDxfId="5"/>
    <tableColumn id="10" xr3:uid="{CBA78A7F-B251-4782-9FEA-A8B2345A6CD7}" name="System" dataDxfId="4"/>
    <tableColumn id="11" xr3:uid="{8F6B7612-462E-41C9-9967-7FA7F1697C09}" name="DOI / url" dataDxfId="3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dx.doi.org/10.1109/ICRAI.2016.7791225" TargetMode="External"/><Relationship Id="rId21" Type="http://schemas.openxmlformats.org/officeDocument/2006/relationships/hyperlink" Target="https://doi.org/10.3390/iot2030024" TargetMode="External"/><Relationship Id="rId42" Type="http://schemas.openxmlformats.org/officeDocument/2006/relationships/hyperlink" Target="https://doi.org/10.1109/ICITAMEE50454.2020.9398384" TargetMode="External"/><Relationship Id="rId47" Type="http://schemas.openxmlformats.org/officeDocument/2006/relationships/hyperlink" Target="https://doi.org/10.18831/djcse.in/2016021003" TargetMode="External"/><Relationship Id="rId63" Type="http://schemas.openxmlformats.org/officeDocument/2006/relationships/hyperlink" Target="https://aperta.ulakbim.gov.tr/record/66347" TargetMode="External"/><Relationship Id="rId68" Type="http://schemas.openxmlformats.org/officeDocument/2006/relationships/printerSettings" Target="../printerSettings/printerSettings1.bin"/><Relationship Id="rId7" Type="http://schemas.openxmlformats.org/officeDocument/2006/relationships/hyperlink" Target="http://dx.doi.org/10.13140/RG.2.2.17522.86726" TargetMode="External"/><Relationship Id="rId2" Type="http://schemas.openxmlformats.org/officeDocument/2006/relationships/hyperlink" Target="http://dx.doi.org/10.15680/IJIRSET.2019.0802044" TargetMode="External"/><Relationship Id="rId16" Type="http://schemas.openxmlformats.org/officeDocument/2006/relationships/hyperlink" Target="https://doi.org/10.3390/s18082555" TargetMode="External"/><Relationship Id="rId29" Type="http://schemas.openxmlformats.org/officeDocument/2006/relationships/hyperlink" Target="https://doi.org/10.3934/mbe.2019273" TargetMode="External"/><Relationship Id="rId11" Type="http://schemas.openxmlformats.org/officeDocument/2006/relationships/hyperlink" Target="http://dx.doi.org/10.1007/s12667-023-00610-2" TargetMode="External"/><Relationship Id="rId24" Type="http://schemas.openxmlformats.org/officeDocument/2006/relationships/hyperlink" Target="https://corescholar.libraries.wright.edu/infosys_scm/114/" TargetMode="External"/><Relationship Id="rId32" Type="http://schemas.openxmlformats.org/officeDocument/2006/relationships/hyperlink" Target="http://dx.doi.org/10.23919/SAIEE.2024.10551314" TargetMode="External"/><Relationship Id="rId37" Type="http://schemas.openxmlformats.org/officeDocument/2006/relationships/hyperlink" Target="https://doi.org/10.1109/ICACITE51222.2021.9404692" TargetMode="External"/><Relationship Id="rId40" Type="http://schemas.openxmlformats.org/officeDocument/2006/relationships/hyperlink" Target="https://doi.org/10.1177/0954410018791068" TargetMode="External"/><Relationship Id="rId45" Type="http://schemas.openxmlformats.org/officeDocument/2006/relationships/hyperlink" Target="http://dx.doi.org/10.3390/en13143693" TargetMode="External"/><Relationship Id="rId53" Type="http://schemas.openxmlformats.org/officeDocument/2006/relationships/hyperlink" Target="https://itsourcecode.com/uml/activity-diagram-for-hotel-room-booking/" TargetMode="External"/><Relationship Id="rId58" Type="http://schemas.openxmlformats.org/officeDocument/2006/relationships/hyperlink" Target="https://doi.org/10.1016/j.cie.2025.111531" TargetMode="External"/><Relationship Id="rId66" Type="http://schemas.openxmlformats.org/officeDocument/2006/relationships/hyperlink" Target="https://doi.org/10.1142/S0218194019500335" TargetMode="External"/><Relationship Id="rId5" Type="http://schemas.openxmlformats.org/officeDocument/2006/relationships/hyperlink" Target="https://doi.org/10.1007/s10661-020-08535-4" TargetMode="External"/><Relationship Id="rId61" Type="http://schemas.openxmlformats.org/officeDocument/2006/relationships/hyperlink" Target="https://doi.org/10.1109/ICEBE.2006.54" TargetMode="External"/><Relationship Id="rId19" Type="http://schemas.openxmlformats.org/officeDocument/2006/relationships/hyperlink" Target="http://dx.doi.org/10.4314/njt.v36i4.32" TargetMode="External"/><Relationship Id="rId14" Type="http://schemas.openxmlformats.org/officeDocument/2006/relationships/hyperlink" Target="https://cdt.europa.eu/en/centres-workflow" TargetMode="External"/><Relationship Id="rId22" Type="http://schemas.openxmlformats.org/officeDocument/2006/relationships/hyperlink" Target="https://www.researchgate.net/publication/340261013_Iot_Based_Smart_Helmet_for_Mining_Industry_Application" TargetMode="External"/><Relationship Id="rId27" Type="http://schemas.openxmlformats.org/officeDocument/2006/relationships/hyperlink" Target="http://dx.doi.org/10.1109/ICRAI.2016.7791225" TargetMode="External"/><Relationship Id="rId30" Type="http://schemas.openxmlformats.org/officeDocument/2006/relationships/hyperlink" Target="https://doi.org/10.1101/2020.05.29.20110759" TargetMode="External"/><Relationship Id="rId35" Type="http://schemas.openxmlformats.org/officeDocument/2006/relationships/hyperlink" Target="https://doi.org/10.1016/j.scs.2020.102332" TargetMode="External"/><Relationship Id="rId43" Type="http://schemas.openxmlformats.org/officeDocument/2006/relationships/hyperlink" Target="https://doi.org/10.1109/ICITAMEE50454.2020.9398384" TargetMode="External"/><Relationship Id="rId48" Type="http://schemas.openxmlformats.org/officeDocument/2006/relationships/hyperlink" Target="https://github.com/PremKumarAmbrose/Smart-Agriculture-system-IoT-Arduino-YUN" TargetMode="External"/><Relationship Id="rId56" Type="http://schemas.openxmlformats.org/officeDocument/2006/relationships/hyperlink" Target="https://doi.org/10.1016/j.aej.2018.07.005" TargetMode="External"/><Relationship Id="rId64" Type="http://schemas.openxmlformats.org/officeDocument/2006/relationships/hyperlink" Target="https://doi.org/10.3390/s23020790" TargetMode="External"/><Relationship Id="rId69" Type="http://schemas.openxmlformats.org/officeDocument/2006/relationships/table" Target="../tables/table1.xml"/><Relationship Id="rId8" Type="http://schemas.openxmlformats.org/officeDocument/2006/relationships/hyperlink" Target="http://doi.org/10.11591/ijece.v10i6.pp6389-6398" TargetMode="External"/><Relationship Id="rId51" Type="http://schemas.openxmlformats.org/officeDocument/2006/relationships/hyperlink" Target="https://doi.org/10.1590/0103-6513.20180078" TargetMode="External"/><Relationship Id="rId3" Type="http://schemas.openxmlformats.org/officeDocument/2006/relationships/hyperlink" Target="https://www.irjet.net/archives/V7/i12/IRJET-V7I12363.pdf" TargetMode="External"/><Relationship Id="rId12" Type="http://schemas.openxmlformats.org/officeDocument/2006/relationships/hyperlink" Target="https://doi.org/10.1007/s10586-021-03291-7" TargetMode="External"/><Relationship Id="rId17" Type="http://schemas.openxmlformats.org/officeDocument/2006/relationships/hyperlink" Target="https://doi.org/10.3390/s18082555" TargetMode="External"/><Relationship Id="rId25" Type="http://schemas.openxmlformats.org/officeDocument/2006/relationships/hyperlink" Target="http://dx.doi.org/10.4236/ica.2019.104010" TargetMode="External"/><Relationship Id="rId33" Type="http://schemas.openxmlformats.org/officeDocument/2006/relationships/hyperlink" Target="http://dx.doi.org/10.1109/ICCES.2018.8639206" TargetMode="External"/><Relationship Id="rId38" Type="http://schemas.openxmlformats.org/officeDocument/2006/relationships/hyperlink" Target="https://doi.org/10.1109/ACCESS.2023.3299825" TargetMode="External"/><Relationship Id="rId46" Type="http://schemas.openxmlformats.org/officeDocument/2006/relationships/hyperlink" Target="https://portal.so.ucr.ac.cr/sites/default/files/documents/2017_Analysis%20of%20Loan%20Application%20Process%20Using%20Process%20Mining.pdf" TargetMode="External"/><Relationship Id="rId59" Type="http://schemas.openxmlformats.org/officeDocument/2006/relationships/hyperlink" Target="https://doi.org/10.1088/1742-6596/1986/1/012102?urlappend=%3Futm_source%3Dresearchgate.net%26medium%3Darticle" TargetMode="External"/><Relationship Id="rId67" Type="http://schemas.openxmlformats.org/officeDocument/2006/relationships/hyperlink" Target="http://dx.doi.org/10.1109/ICCES.2018.8639206" TargetMode="External"/><Relationship Id="rId20" Type="http://schemas.openxmlformats.org/officeDocument/2006/relationships/hyperlink" Target="https://doi.org/10.3390/iot2030024" TargetMode="External"/><Relationship Id="rId41" Type="http://schemas.openxmlformats.org/officeDocument/2006/relationships/hyperlink" Target="https://doi.org/10.3390/aerospace8020054" TargetMode="External"/><Relationship Id="rId54" Type="http://schemas.openxmlformats.org/officeDocument/2006/relationships/hyperlink" Target="https://doi.org/10.25126/jitecs.202381434" TargetMode="External"/><Relationship Id="rId62" Type="http://schemas.openxmlformats.org/officeDocument/2006/relationships/hyperlink" Target="https://riunet.upv.es/handle/10251/88831" TargetMode="External"/><Relationship Id="rId1" Type="http://schemas.openxmlformats.org/officeDocument/2006/relationships/hyperlink" Target="https://doi.org/10.1016/j.iot.2020.100292" TargetMode="External"/><Relationship Id="rId6" Type="http://schemas.openxmlformats.org/officeDocument/2006/relationships/hyperlink" Target="https://www.jetir.org/papers/JETIR1905I66.pdf" TargetMode="External"/><Relationship Id="rId15" Type="http://schemas.openxmlformats.org/officeDocument/2006/relationships/hyperlink" Target="http://dx.doi.org/10.1155/2015/576463" TargetMode="External"/><Relationship Id="rId23" Type="http://schemas.openxmlformats.org/officeDocument/2006/relationships/hyperlink" Target="https://corescholar.libraries.wright.edu/infosys_scm/114/" TargetMode="External"/><Relationship Id="rId28" Type="http://schemas.openxmlformats.org/officeDocument/2006/relationships/hyperlink" Target="https://jtec.utem.edu.my/jtec/article/view/2379" TargetMode="External"/><Relationship Id="rId36" Type="http://schemas.openxmlformats.org/officeDocument/2006/relationships/hyperlink" Target="https://doi.org/10.1109/ICACITE51222.2021.9404692" TargetMode="External"/><Relationship Id="rId49" Type="http://schemas.openxmlformats.org/officeDocument/2006/relationships/hyperlink" Target="https://link.springer.com/chapter/10.1007/978-3-030-04849-5_11" TargetMode="External"/><Relationship Id="rId57" Type="http://schemas.openxmlformats.org/officeDocument/2006/relationships/hyperlink" Target="https://doi.org/10.1109/SmartTechCon.2017.8358335" TargetMode="External"/><Relationship Id="rId10" Type="http://schemas.openxmlformats.org/officeDocument/2006/relationships/hyperlink" Target="https://www.researchgate.net/publication/246687286_Lifetime_Modelling_of_Lead_Acid_Batteries" TargetMode="External"/><Relationship Id="rId31" Type="http://schemas.openxmlformats.org/officeDocument/2006/relationships/hyperlink" Target="https://doi.org/10.3390/a15070239" TargetMode="External"/><Relationship Id="rId44" Type="http://schemas.openxmlformats.org/officeDocument/2006/relationships/hyperlink" Target="http://dx.doi.org/10.3390/en13143693" TargetMode="External"/><Relationship Id="rId52" Type="http://schemas.openxmlformats.org/officeDocument/2006/relationships/hyperlink" Target="https://doi.org/10.1109/ICALIP.2012.6376792" TargetMode="External"/><Relationship Id="rId60" Type="http://schemas.openxmlformats.org/officeDocument/2006/relationships/hyperlink" Target="https://doi.org/10.4236/jcc.2021.93011" TargetMode="External"/><Relationship Id="rId65" Type="http://schemas.openxmlformats.org/officeDocument/2006/relationships/hyperlink" Target="https://doi.org/10.3390/fire8010030" TargetMode="External"/><Relationship Id="rId4" Type="http://schemas.openxmlformats.org/officeDocument/2006/relationships/hyperlink" Target="https://doi.org/10.1155/2021/9928254" TargetMode="External"/><Relationship Id="rId9" Type="http://schemas.openxmlformats.org/officeDocument/2006/relationships/hyperlink" Target="https://doi.org/10.1016/j.iot.2019.100085" TargetMode="External"/><Relationship Id="rId13" Type="http://schemas.openxmlformats.org/officeDocument/2006/relationships/hyperlink" Target="https://doi.org/10.6109/jicce.2020.18.1.8" TargetMode="External"/><Relationship Id="rId18" Type="http://schemas.openxmlformats.org/officeDocument/2006/relationships/hyperlink" Target="https://doi.org/10.3390/s18082555" TargetMode="External"/><Relationship Id="rId39" Type="http://schemas.openxmlformats.org/officeDocument/2006/relationships/hyperlink" Target="https://doi.org/10.1109/ACCESS.2023.3299825" TargetMode="External"/><Relationship Id="rId34" Type="http://schemas.openxmlformats.org/officeDocument/2006/relationships/hyperlink" Target="https://doi.org/10.1007/s42979-021-00521-y" TargetMode="External"/><Relationship Id="rId50" Type="http://schemas.openxmlformats.org/officeDocument/2006/relationships/hyperlink" Target="https://procesy.is.cvut.cz/process.xhtml?pid=19674&amp;tenant=7&amp;type=process" TargetMode="External"/><Relationship Id="rId55" Type="http://schemas.openxmlformats.org/officeDocument/2006/relationships/hyperlink" Target="https://doi.org/10.1109/TSE.2004.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109AD-6C46-4BF7-BC9F-714AD0B8B7A3}">
  <sheetPr>
    <pageSetUpPr fitToPage="1"/>
  </sheetPr>
  <dimension ref="A1:E87"/>
  <sheetViews>
    <sheetView tabSelected="1" workbookViewId="0">
      <selection activeCell="B6" sqref="B6"/>
    </sheetView>
  </sheetViews>
  <sheetFormatPr defaultRowHeight="14.4" x14ac:dyDescent="0.3"/>
  <cols>
    <col min="1" max="1" width="7.109375" bestFit="1" customWidth="1"/>
    <col min="2" max="2" width="28.77734375" bestFit="1" customWidth="1"/>
    <col min="3" max="3" width="35.33203125" bestFit="1" customWidth="1"/>
    <col min="4" max="4" width="81" customWidth="1"/>
    <col min="5" max="5" width="58.21875" customWidth="1"/>
  </cols>
  <sheetData>
    <row r="1" spans="1:5" s="12" customFormat="1" ht="15" thickBot="1" x14ac:dyDescent="0.35">
      <c r="A1" s="16" t="s">
        <v>0</v>
      </c>
      <c r="B1" s="10" t="s">
        <v>243</v>
      </c>
      <c r="C1" s="11" t="s">
        <v>3</v>
      </c>
      <c r="D1" s="10" t="s">
        <v>1</v>
      </c>
      <c r="E1" s="10" t="s">
        <v>2</v>
      </c>
    </row>
    <row r="2" spans="1:5" ht="15" thickBot="1" x14ac:dyDescent="0.35">
      <c r="A2">
        <f>_xlfn.NUMBERVALUE(LEFT(Table1[[#This Row],[Instance name]],FIND("_",Table1[[#This Row],[Instance name]])-1))</f>
        <v>1</v>
      </c>
      <c r="B2" s="1" t="s">
        <v>4</v>
      </c>
      <c r="C2" s="1" t="s">
        <v>3</v>
      </c>
      <c r="D2" s="1" t="s">
        <v>5</v>
      </c>
      <c r="E2" s="2" t="s">
        <v>6</v>
      </c>
    </row>
    <row r="3" spans="1:5" ht="27" thickBot="1" x14ac:dyDescent="0.35">
      <c r="A3" s="8">
        <f>_xlfn.NUMBERVALUE(LEFT(Table1[[#This Row],[Instance name]],FIND("_",Table1[[#This Row],[Instance name]])-1))</f>
        <v>2</v>
      </c>
      <c r="B3" s="1" t="s">
        <v>7</v>
      </c>
      <c r="C3" s="1" t="s">
        <v>10</v>
      </c>
      <c r="D3" s="1" t="s">
        <v>8</v>
      </c>
      <c r="E3" s="2" t="s">
        <v>9</v>
      </c>
    </row>
    <row r="4" spans="1:5" ht="29.4" thickBot="1" x14ac:dyDescent="0.35">
      <c r="A4" s="8">
        <f>_xlfn.NUMBERVALUE(LEFT(Table1[[#This Row],[Instance name]],FIND("_",Table1[[#This Row],[Instance name]])-1))</f>
        <v>3</v>
      </c>
      <c r="B4" s="1" t="s">
        <v>15</v>
      </c>
      <c r="C4" s="1" t="s">
        <v>18</v>
      </c>
      <c r="D4" s="1" t="s">
        <v>16</v>
      </c>
      <c r="E4" s="2" t="s">
        <v>17</v>
      </c>
    </row>
    <row r="5" spans="1:5" ht="27" thickBot="1" x14ac:dyDescent="0.35">
      <c r="A5" s="8">
        <f>_xlfn.NUMBERVALUE(LEFT(Table1[[#This Row],[Instance name]],FIND("_",Table1[[#This Row],[Instance name]])-1))</f>
        <v>4</v>
      </c>
      <c r="B5" s="1" t="s">
        <v>19</v>
      </c>
      <c r="C5" s="1" t="s">
        <v>22</v>
      </c>
      <c r="D5" s="1" t="s">
        <v>20</v>
      </c>
      <c r="E5" s="2" t="s">
        <v>21</v>
      </c>
    </row>
    <row r="6" spans="1:5" ht="15" thickBot="1" x14ac:dyDescent="0.35">
      <c r="A6" s="8">
        <f>_xlfn.NUMBERVALUE(LEFT(Table1[[#This Row],[Instance name]],FIND("_",Table1[[#This Row],[Instance name]])-1))</f>
        <v>5</v>
      </c>
      <c r="B6" s="1" t="s">
        <v>23</v>
      </c>
      <c r="C6" s="1" t="s">
        <v>14</v>
      </c>
      <c r="D6" s="1" t="s">
        <v>24</v>
      </c>
      <c r="E6" s="2" t="s">
        <v>25</v>
      </c>
    </row>
    <row r="7" spans="1:5" ht="43.8" thickBot="1" x14ac:dyDescent="0.35">
      <c r="A7" s="8">
        <f>_xlfn.NUMBERVALUE(LEFT(Table1[[#This Row],[Instance name]],FIND("_",Table1[[#This Row],[Instance name]])-1))</f>
        <v>6</v>
      </c>
      <c r="B7" s="1" t="s">
        <v>26</v>
      </c>
      <c r="C7" s="1" t="s">
        <v>29</v>
      </c>
      <c r="D7" s="1" t="s">
        <v>27</v>
      </c>
      <c r="E7" s="2" t="s">
        <v>28</v>
      </c>
    </row>
    <row r="8" spans="1:5" ht="15" thickBot="1" x14ac:dyDescent="0.35">
      <c r="A8" s="8">
        <f>_xlfn.NUMBERVALUE(LEFT(Table1[[#This Row],[Instance name]],FIND("_",Table1[[#This Row],[Instance name]])-1))</f>
        <v>7</v>
      </c>
      <c r="B8" s="1" t="s">
        <v>33</v>
      </c>
      <c r="C8" s="1" t="s">
        <v>22</v>
      </c>
      <c r="D8" s="1" t="s">
        <v>34</v>
      </c>
      <c r="E8" s="2" t="s">
        <v>35</v>
      </c>
    </row>
    <row r="9" spans="1:5" ht="15" thickBot="1" x14ac:dyDescent="0.35">
      <c r="A9" s="8">
        <f>_xlfn.NUMBERVALUE(LEFT(Table1[[#This Row],[Instance name]],FIND("_",Table1[[#This Row],[Instance name]])-1))</f>
        <v>8</v>
      </c>
      <c r="B9" s="1" t="s">
        <v>36</v>
      </c>
      <c r="C9" s="3" t="s">
        <v>39</v>
      </c>
      <c r="D9" s="1" t="s">
        <v>37</v>
      </c>
      <c r="E9" s="2" t="s">
        <v>38</v>
      </c>
    </row>
    <row r="10" spans="1:5" ht="27" thickBot="1" x14ac:dyDescent="0.35">
      <c r="A10" s="13">
        <f>_xlfn.NUMBERVALUE(LEFT(Table1[[#This Row],[Instance name]],FIND("_",Table1[[#This Row],[Instance name]])-1))</f>
        <v>9</v>
      </c>
      <c r="B10" s="3" t="s">
        <v>40</v>
      </c>
      <c r="C10" s="1" t="s">
        <v>43</v>
      </c>
      <c r="D10" s="3" t="s">
        <v>41</v>
      </c>
      <c r="E10" s="4" t="s">
        <v>42</v>
      </c>
    </row>
    <row r="11" spans="1:5" ht="27" thickBot="1" x14ac:dyDescent="0.35">
      <c r="A11" s="8">
        <f>_xlfn.NUMBERVALUE(LEFT(Table1[[#This Row],[Instance name]],FIND("_",Table1[[#This Row],[Instance name]])-1))</f>
        <v>10</v>
      </c>
      <c r="B11" s="1" t="s">
        <v>44</v>
      </c>
      <c r="C11" s="1" t="s">
        <v>14</v>
      </c>
      <c r="D11" s="1" t="s">
        <v>45</v>
      </c>
      <c r="E11" s="2" t="s">
        <v>46</v>
      </c>
    </row>
    <row r="12" spans="1:5" ht="15" thickBot="1" x14ac:dyDescent="0.35">
      <c r="A12" s="8">
        <f>_xlfn.NUMBERVALUE(LEFT(Table1[[#This Row],[Instance name]],FIND("_",Table1[[#This Row],[Instance name]])-1))</f>
        <v>11</v>
      </c>
      <c r="B12" s="1" t="s">
        <v>47</v>
      </c>
      <c r="C12" s="1" t="s">
        <v>14</v>
      </c>
      <c r="D12" s="1" t="s">
        <v>48</v>
      </c>
      <c r="E12" s="2" t="s">
        <v>49</v>
      </c>
    </row>
    <row r="13" spans="1:5" ht="15" thickBot="1" x14ac:dyDescent="0.35">
      <c r="A13" s="8">
        <f>_xlfn.NUMBERVALUE(LEFT(Table1[[#This Row],[Instance name]],FIND("_",Table1[[#This Row],[Instance name]])-1))</f>
        <v>12</v>
      </c>
      <c r="B13" s="1" t="s">
        <v>54</v>
      </c>
      <c r="C13" s="1" t="s">
        <v>43</v>
      </c>
      <c r="D13" s="1" t="s">
        <v>52</v>
      </c>
      <c r="E13" s="2" t="s">
        <v>53</v>
      </c>
    </row>
    <row r="14" spans="1:5" ht="15" thickBot="1" x14ac:dyDescent="0.35">
      <c r="A14" s="8">
        <f>_xlfn.NUMBERVALUE(LEFT(Table1[[#This Row],[Instance name]],FIND("_",Table1[[#This Row],[Instance name]])-1))</f>
        <v>13</v>
      </c>
      <c r="B14" s="1" t="s">
        <v>55</v>
      </c>
      <c r="C14" s="1" t="s">
        <v>43</v>
      </c>
      <c r="D14" s="1" t="s">
        <v>56</v>
      </c>
      <c r="E14" s="2" t="s">
        <v>57</v>
      </c>
    </row>
    <row r="15" spans="1:5" ht="29.4" thickBot="1" x14ac:dyDescent="0.35">
      <c r="A15" s="8">
        <f>_xlfn.NUMBERVALUE(LEFT(Table1[[#This Row],[Instance name]],FIND("_",Table1[[#This Row],[Instance name]])-1))</f>
        <v>14</v>
      </c>
      <c r="B15" s="1" t="s">
        <v>58</v>
      </c>
      <c r="C15" s="17" t="s">
        <v>61</v>
      </c>
      <c r="D15" s="1" t="s">
        <v>59</v>
      </c>
      <c r="E15" s="2" t="s">
        <v>60</v>
      </c>
    </row>
    <row r="16" spans="1:5" ht="15" thickBot="1" x14ac:dyDescent="0.35">
      <c r="A16" s="14">
        <f>_xlfn.NUMBERVALUE(LEFT(Table1[[#This Row],[Instance name]],FIND("_",Table1[[#This Row],[Instance name]])-1))</f>
        <v>15</v>
      </c>
      <c r="B16" s="17" t="s">
        <v>62</v>
      </c>
      <c r="C16" s="1" t="s">
        <v>43</v>
      </c>
      <c r="D16" s="17" t="s">
        <v>63</v>
      </c>
      <c r="E16" s="5" t="s">
        <v>64</v>
      </c>
    </row>
    <row r="17" spans="1:5" ht="15" thickBot="1" x14ac:dyDescent="0.35">
      <c r="A17" s="8">
        <f>_xlfn.NUMBERVALUE(LEFT(Table1[[#This Row],[Instance name]],FIND("_",Table1[[#This Row],[Instance name]])-1))</f>
        <v>16</v>
      </c>
      <c r="B17" s="1" t="s">
        <v>65</v>
      </c>
      <c r="C17" s="1" t="s">
        <v>68</v>
      </c>
      <c r="D17" s="1" t="s">
        <v>66</v>
      </c>
      <c r="E17" s="2" t="s">
        <v>67</v>
      </c>
    </row>
    <row r="18" spans="1:5" ht="15" thickBot="1" x14ac:dyDescent="0.35">
      <c r="A18" s="8">
        <f>_xlfn.NUMBERVALUE(LEFT(Table1[[#This Row],[Instance name]],FIND("_",Table1[[#This Row],[Instance name]])-1))</f>
        <v>17</v>
      </c>
      <c r="B18" s="1" t="s">
        <v>69</v>
      </c>
      <c r="C18" s="1" t="s">
        <v>72</v>
      </c>
      <c r="D18" s="1" t="s">
        <v>70</v>
      </c>
      <c r="E18" s="2" t="s">
        <v>71</v>
      </c>
    </row>
    <row r="19" spans="1:5" ht="27" thickBot="1" x14ac:dyDescent="0.35">
      <c r="A19" s="8">
        <f>_xlfn.NUMBERVALUE(LEFT(Table1[[#This Row],[Instance name]],FIND("_",Table1[[#This Row],[Instance name]])-1))</f>
        <v>18</v>
      </c>
      <c r="B19" s="1" t="s">
        <v>73</v>
      </c>
      <c r="C19" s="1" t="s">
        <v>76</v>
      </c>
      <c r="D19" s="1" t="s">
        <v>74</v>
      </c>
      <c r="E19" s="2" t="s">
        <v>75</v>
      </c>
    </row>
    <row r="20" spans="1:5" ht="15" thickBot="1" x14ac:dyDescent="0.35">
      <c r="A20" s="8">
        <f>_xlfn.NUMBERVALUE(LEFT(Table1[[#This Row],[Instance name]],FIND("_",Table1[[#This Row],[Instance name]])-1))</f>
        <v>19</v>
      </c>
      <c r="B20" s="1" t="s">
        <v>77</v>
      </c>
      <c r="C20" s="1" t="s">
        <v>76</v>
      </c>
      <c r="D20" s="1" t="s">
        <v>78</v>
      </c>
      <c r="E20" s="6" t="s">
        <v>79</v>
      </c>
    </row>
    <row r="21" spans="1:5" ht="15" thickBot="1" x14ac:dyDescent="0.35">
      <c r="A21" s="8">
        <f>_xlfn.NUMBERVALUE(LEFT(Table1[[#This Row],[Instance name]],FIND("_",Table1[[#This Row],[Instance name]])-1))</f>
        <v>20</v>
      </c>
      <c r="B21" s="1" t="s">
        <v>80</v>
      </c>
      <c r="C21" s="1" t="s">
        <v>76</v>
      </c>
      <c r="D21" s="1" t="s">
        <v>78</v>
      </c>
      <c r="E21" s="6" t="s">
        <v>79</v>
      </c>
    </row>
    <row r="22" spans="1:5" ht="15" thickBot="1" x14ac:dyDescent="0.35">
      <c r="A22" s="8">
        <f>_xlfn.NUMBERVALUE(LEFT(Table1[[#This Row],[Instance name]],FIND("_",Table1[[#This Row],[Instance name]])-1))</f>
        <v>21</v>
      </c>
      <c r="B22" s="1" t="s">
        <v>81</v>
      </c>
      <c r="C22" s="1" t="s">
        <v>76</v>
      </c>
      <c r="D22" s="1" t="s">
        <v>78</v>
      </c>
      <c r="E22" s="6" t="s">
        <v>79</v>
      </c>
    </row>
    <row r="23" spans="1:5" ht="15" thickBot="1" x14ac:dyDescent="0.35">
      <c r="A23" s="8">
        <f>_xlfn.NUMBERVALUE(LEFT(Table1[[#This Row],[Instance name]],FIND("_",Table1[[#This Row],[Instance name]])-1))</f>
        <v>22</v>
      </c>
      <c r="B23" s="1" t="s">
        <v>82</v>
      </c>
      <c r="C23" s="1" t="s">
        <v>61</v>
      </c>
      <c r="D23" s="1" t="s">
        <v>78</v>
      </c>
      <c r="E23" s="6" t="s">
        <v>79</v>
      </c>
    </row>
    <row r="24" spans="1:5" ht="15" thickBot="1" x14ac:dyDescent="0.35">
      <c r="A24" s="8">
        <f>_xlfn.NUMBERVALUE(LEFT(Table1[[#This Row],[Instance name]],FIND("_",Table1[[#This Row],[Instance name]])-1))</f>
        <v>23</v>
      </c>
      <c r="B24" s="1" t="s">
        <v>83</v>
      </c>
      <c r="C24" s="1" t="s">
        <v>43</v>
      </c>
      <c r="D24" s="1" t="s">
        <v>84</v>
      </c>
      <c r="E24" s="2" t="s">
        <v>85</v>
      </c>
    </row>
    <row r="25" spans="1:5" ht="15" thickBot="1" x14ac:dyDescent="0.35">
      <c r="A25" s="8">
        <f>_xlfn.NUMBERVALUE(LEFT(Table1[[#This Row],[Instance name]],FIND("_",Table1[[#This Row],[Instance name]])-1))</f>
        <v>24</v>
      </c>
      <c r="B25" s="1" t="s">
        <v>86</v>
      </c>
      <c r="C25" s="1" t="s">
        <v>89</v>
      </c>
      <c r="D25" s="1" t="s">
        <v>87</v>
      </c>
      <c r="E25" s="2" t="s">
        <v>88</v>
      </c>
    </row>
    <row r="26" spans="1:5" ht="27" thickBot="1" x14ac:dyDescent="0.35">
      <c r="A26" s="8">
        <f>_xlfn.NUMBERVALUE(LEFT(Table1[[#This Row],[Instance name]],FIND("_",Table1[[#This Row],[Instance name]])-1))</f>
        <v>25</v>
      </c>
      <c r="B26" s="1" t="s">
        <v>94</v>
      </c>
      <c r="C26" s="1" t="s">
        <v>93</v>
      </c>
      <c r="D26" s="1" t="s">
        <v>95</v>
      </c>
      <c r="E26" s="2" t="s">
        <v>96</v>
      </c>
    </row>
    <row r="27" spans="1:5" ht="15" thickBot="1" x14ac:dyDescent="0.35">
      <c r="A27" s="8">
        <f>_xlfn.NUMBERVALUE(LEFT(Table1[[#This Row],[Instance name]],FIND("_",Table1[[#This Row],[Instance name]])-1))</f>
        <v>26</v>
      </c>
      <c r="B27" s="1" t="s">
        <v>97</v>
      </c>
      <c r="C27" s="1" t="s">
        <v>14</v>
      </c>
      <c r="D27" s="1" t="s">
        <v>95</v>
      </c>
      <c r="E27" s="2" t="s">
        <v>96</v>
      </c>
    </row>
    <row r="28" spans="1:5" ht="15" thickBot="1" x14ac:dyDescent="0.35">
      <c r="A28" s="8">
        <f>_xlfn.NUMBERVALUE(LEFT(Table1[[#This Row],[Instance name]],FIND("_",Table1[[#This Row],[Instance name]])-1))</f>
        <v>27</v>
      </c>
      <c r="B28" s="1" t="s">
        <v>98</v>
      </c>
      <c r="C28" s="1" t="s">
        <v>101</v>
      </c>
      <c r="D28" s="1" t="s">
        <v>99</v>
      </c>
      <c r="E28" s="2" t="s">
        <v>100</v>
      </c>
    </row>
    <row r="29" spans="1:5" ht="15" thickBot="1" x14ac:dyDescent="0.35">
      <c r="A29" s="8">
        <f>_xlfn.NUMBERVALUE(LEFT(Table1[[#This Row],[Instance name]],FIND("_",Table1[[#This Row],[Instance name]])-1))</f>
        <v>28</v>
      </c>
      <c r="B29" s="1" t="s">
        <v>102</v>
      </c>
      <c r="C29" s="1" t="s">
        <v>105</v>
      </c>
      <c r="D29" s="1" t="s">
        <v>103</v>
      </c>
      <c r="E29" s="2" t="s">
        <v>104</v>
      </c>
    </row>
    <row r="30" spans="1:5" ht="27" thickBot="1" x14ac:dyDescent="0.35">
      <c r="A30" s="8">
        <f>_xlfn.NUMBERVALUE(LEFT(Table1[[#This Row],[Instance name]],FIND("_",Table1[[#This Row],[Instance name]])-1))</f>
        <v>29</v>
      </c>
      <c r="B30" s="1" t="s">
        <v>106</v>
      </c>
      <c r="C30" s="1" t="s">
        <v>109</v>
      </c>
      <c r="D30" s="1" t="s">
        <v>107</v>
      </c>
      <c r="E30" s="2" t="s">
        <v>108</v>
      </c>
    </row>
    <row r="31" spans="1:5" ht="27" thickBot="1" x14ac:dyDescent="0.35">
      <c r="A31" s="8">
        <f>_xlfn.NUMBERVALUE(LEFT(Table1[[#This Row],[Instance name]],FIND("_",Table1[[#This Row],[Instance name]])-1))</f>
        <v>30</v>
      </c>
      <c r="B31" s="1" t="s">
        <v>110</v>
      </c>
      <c r="C31" s="1" t="s">
        <v>22</v>
      </c>
      <c r="D31" s="1" t="s">
        <v>111</v>
      </c>
      <c r="E31" s="2" t="s">
        <v>112</v>
      </c>
    </row>
    <row r="32" spans="1:5" ht="15" thickBot="1" x14ac:dyDescent="0.35">
      <c r="A32" s="8">
        <f>_xlfn.NUMBERVALUE(LEFT(Table1[[#This Row],[Instance name]],FIND("_",Table1[[#This Row],[Instance name]])-1))</f>
        <v>31</v>
      </c>
      <c r="B32" s="1" t="s">
        <v>113</v>
      </c>
      <c r="C32" s="1" t="s">
        <v>89</v>
      </c>
      <c r="D32" s="1" t="s">
        <v>114</v>
      </c>
      <c r="E32" s="2" t="s">
        <v>115</v>
      </c>
    </row>
    <row r="33" spans="1:5" ht="15" thickBot="1" x14ac:dyDescent="0.35">
      <c r="A33" s="8">
        <f>_xlfn.NUMBERVALUE(LEFT(Table1[[#This Row],[Instance name]],FIND("_",Table1[[#This Row],[Instance name]])-1))</f>
        <v>32</v>
      </c>
      <c r="B33" s="1" t="s">
        <v>116</v>
      </c>
      <c r="C33" s="1" t="s">
        <v>89</v>
      </c>
      <c r="D33" s="1" t="s">
        <v>117</v>
      </c>
      <c r="E33" s="2" t="s">
        <v>118</v>
      </c>
    </row>
    <row r="34" spans="1:5" ht="15" thickBot="1" x14ac:dyDescent="0.35">
      <c r="A34" s="8">
        <f>_xlfn.NUMBERVALUE(LEFT(Table1[[#This Row],[Instance name]],FIND("_",Table1[[#This Row],[Instance name]])-1))</f>
        <v>33</v>
      </c>
      <c r="B34" s="1" t="s">
        <v>119</v>
      </c>
      <c r="C34" s="1" t="s">
        <v>120</v>
      </c>
      <c r="D34" s="1" t="s">
        <v>117</v>
      </c>
      <c r="E34" s="2" t="s">
        <v>118</v>
      </c>
    </row>
    <row r="35" spans="1:5" ht="15" thickBot="1" x14ac:dyDescent="0.35">
      <c r="A35" s="8">
        <f>_xlfn.NUMBERVALUE(LEFT(Table1[[#This Row],[Instance name]],FIND("_",Table1[[#This Row],[Instance name]])-1))</f>
        <v>34</v>
      </c>
      <c r="B35" s="1" t="s">
        <v>121</v>
      </c>
      <c r="C35" s="1" t="s">
        <v>120</v>
      </c>
      <c r="D35" s="1" t="s">
        <v>122</v>
      </c>
      <c r="E35" s="2" t="s">
        <v>123</v>
      </c>
    </row>
    <row r="36" spans="1:5" ht="27" thickBot="1" x14ac:dyDescent="0.35">
      <c r="A36" s="8">
        <f>_xlfn.NUMBERVALUE(LEFT(Table1[[#This Row],[Instance name]],FIND("_",Table1[[#This Row],[Instance name]])-1))</f>
        <v>35</v>
      </c>
      <c r="B36" s="1" t="s">
        <v>124</v>
      </c>
      <c r="C36" s="1" t="s">
        <v>93</v>
      </c>
      <c r="D36" s="1" t="s">
        <v>122</v>
      </c>
      <c r="E36" s="2" t="s">
        <v>123</v>
      </c>
    </row>
    <row r="37" spans="1:5" ht="27" thickBot="1" x14ac:dyDescent="0.35">
      <c r="A37" s="8">
        <f>_xlfn.NUMBERVALUE(LEFT(Table1[[#This Row],[Instance name]],FIND("_",Table1[[#This Row],[Instance name]])-1))</f>
        <v>36</v>
      </c>
      <c r="B37" s="1" t="s">
        <v>125</v>
      </c>
      <c r="C37" s="1" t="s">
        <v>101</v>
      </c>
      <c r="D37" s="1" t="s">
        <v>126</v>
      </c>
      <c r="E37" s="1" t="s">
        <v>127</v>
      </c>
    </row>
    <row r="38" spans="1:5" ht="15" thickBot="1" x14ac:dyDescent="0.35">
      <c r="A38" s="8">
        <f>_xlfn.NUMBERVALUE(LEFT(Table1[[#This Row],[Instance name]],FIND("_",Table1[[#This Row],[Instance name]])-1))</f>
        <v>37</v>
      </c>
      <c r="B38" s="1" t="s">
        <v>128</v>
      </c>
      <c r="C38" s="1" t="s">
        <v>22</v>
      </c>
      <c r="D38" s="1" t="s">
        <v>129</v>
      </c>
      <c r="E38" s="2" t="s">
        <v>130</v>
      </c>
    </row>
    <row r="39" spans="1:5" ht="27" thickBot="1" x14ac:dyDescent="0.35">
      <c r="A39" s="8">
        <f>_xlfn.NUMBERVALUE(LEFT(Table1[[#This Row],[Instance name]],FIND("_",Table1[[#This Row],[Instance name]])-1))</f>
        <v>38</v>
      </c>
      <c r="B39" s="1" t="s">
        <v>131</v>
      </c>
      <c r="C39" s="1" t="s">
        <v>101</v>
      </c>
      <c r="D39" s="1" t="s">
        <v>132</v>
      </c>
      <c r="E39" s="2" t="s">
        <v>133</v>
      </c>
    </row>
    <row r="40" spans="1:5" ht="15" thickBot="1" x14ac:dyDescent="0.35">
      <c r="A40" s="8">
        <f>_xlfn.NUMBERVALUE(LEFT(Table1[[#This Row],[Instance name]],FIND("_",Table1[[#This Row],[Instance name]])-1))</f>
        <v>39</v>
      </c>
      <c r="B40" s="7" t="s">
        <v>134</v>
      </c>
      <c r="C40" s="1" t="s">
        <v>101</v>
      </c>
      <c r="D40" s="7" t="s">
        <v>135</v>
      </c>
      <c r="E40" s="7" t="s">
        <v>136</v>
      </c>
    </row>
    <row r="41" spans="1:5" ht="15" thickBot="1" x14ac:dyDescent="0.35">
      <c r="A41" s="8">
        <f>_xlfn.NUMBERVALUE(LEFT(Table1[[#This Row],[Instance name]],FIND("_",Table1[[#This Row],[Instance name]])-1))</f>
        <v>40</v>
      </c>
      <c r="B41" s="1" t="s">
        <v>144</v>
      </c>
      <c r="C41" s="1" t="s">
        <v>140</v>
      </c>
      <c r="D41" s="1" t="s">
        <v>250</v>
      </c>
      <c r="E41" s="8" t="s">
        <v>245</v>
      </c>
    </row>
    <row r="42" spans="1:5" ht="15" thickBot="1" x14ac:dyDescent="0.35">
      <c r="A42" s="8">
        <f>_xlfn.NUMBERVALUE(LEFT(Table1[[#This Row],[Instance name]],FIND("_",Table1[[#This Row],[Instance name]])-1))</f>
        <v>41</v>
      </c>
      <c r="B42" s="1" t="s">
        <v>145</v>
      </c>
      <c r="C42" s="1" t="s">
        <v>140</v>
      </c>
      <c r="D42" s="1" t="s">
        <v>251</v>
      </c>
      <c r="E42" s="8" t="s">
        <v>245</v>
      </c>
    </row>
    <row r="43" spans="1:5" ht="15" thickBot="1" x14ac:dyDescent="0.35">
      <c r="A43" s="8">
        <f>_xlfn.NUMBERVALUE(LEFT(Table1[[#This Row],[Instance name]],FIND("_",Table1[[#This Row],[Instance name]])-1))</f>
        <v>42</v>
      </c>
      <c r="B43" s="1" t="s">
        <v>148</v>
      </c>
      <c r="C43" s="1" t="s">
        <v>89</v>
      </c>
      <c r="D43" s="1" t="s">
        <v>149</v>
      </c>
      <c r="E43" s="2" t="s">
        <v>150</v>
      </c>
    </row>
    <row r="44" spans="1:5" ht="15" thickBot="1" x14ac:dyDescent="0.35">
      <c r="A44" s="8">
        <f>_xlfn.NUMBERVALUE(LEFT(Table1[[#This Row],[Instance name]],FIND("_",Table1[[#This Row],[Instance name]])-1))</f>
        <v>43</v>
      </c>
      <c r="B44" s="1" t="s">
        <v>151</v>
      </c>
      <c r="C44" s="1" t="s">
        <v>152</v>
      </c>
      <c r="D44" s="1" t="s">
        <v>149</v>
      </c>
      <c r="E44" s="2" t="s">
        <v>150</v>
      </c>
    </row>
    <row r="45" spans="1:5" ht="27" thickBot="1" x14ac:dyDescent="0.35">
      <c r="A45" s="8">
        <f>_xlfn.NUMBERVALUE(LEFT(Table1[[#This Row],[Instance name]],FIND("_",Table1[[#This Row],[Instance name]])-1))</f>
        <v>44</v>
      </c>
      <c r="B45" s="1" t="s">
        <v>153</v>
      </c>
      <c r="C45" s="1" t="s">
        <v>22</v>
      </c>
      <c r="D45" s="1" t="s">
        <v>154</v>
      </c>
      <c r="E45" s="2" t="s">
        <v>155</v>
      </c>
    </row>
    <row r="46" spans="1:5" ht="27" thickBot="1" x14ac:dyDescent="0.35">
      <c r="A46" s="8">
        <f>_xlfn.NUMBERVALUE(LEFT(Table1[[#This Row],[Instance name]],FIND("_",Table1[[#This Row],[Instance name]])-1))</f>
        <v>45</v>
      </c>
      <c r="B46" s="1" t="s">
        <v>156</v>
      </c>
      <c r="C46" s="1" t="s">
        <v>22</v>
      </c>
      <c r="D46" s="1" t="s">
        <v>157</v>
      </c>
      <c r="E46" s="2" t="s">
        <v>158</v>
      </c>
    </row>
    <row r="47" spans="1:5" ht="27" thickBot="1" x14ac:dyDescent="0.35">
      <c r="A47" s="8">
        <f>_xlfn.NUMBERVALUE(LEFT(Table1[[#This Row],[Instance name]],FIND("_",Table1[[#This Row],[Instance name]])-1))</f>
        <v>46</v>
      </c>
      <c r="B47" s="1" t="s">
        <v>159</v>
      </c>
      <c r="C47" s="1" t="s">
        <v>22</v>
      </c>
      <c r="D47" s="1" t="s">
        <v>157</v>
      </c>
      <c r="E47" s="2" t="s">
        <v>158</v>
      </c>
    </row>
    <row r="48" spans="1:5" ht="27" thickBot="1" x14ac:dyDescent="0.35">
      <c r="A48" s="8">
        <f>_xlfn.NUMBERVALUE(LEFT(Table1[[#This Row],[Instance name]],FIND("_",Table1[[#This Row],[Instance name]])-1))</f>
        <v>47</v>
      </c>
      <c r="B48" s="1" t="s">
        <v>160</v>
      </c>
      <c r="C48" s="1" t="s">
        <v>76</v>
      </c>
      <c r="D48" s="1" t="s">
        <v>157</v>
      </c>
      <c r="E48" s="2" t="s">
        <v>158</v>
      </c>
    </row>
    <row r="49" spans="1:5" ht="15" thickBot="1" x14ac:dyDescent="0.35">
      <c r="A49" s="8">
        <f>_xlfn.NUMBERVALUE(LEFT(Table1[[#This Row],[Instance name]],FIND("_",Table1[[#This Row],[Instance name]])-1))</f>
        <v>48</v>
      </c>
      <c r="B49" s="1" t="s">
        <v>161</v>
      </c>
      <c r="C49" s="1" t="s">
        <v>14</v>
      </c>
      <c r="D49" s="1" t="s">
        <v>162</v>
      </c>
      <c r="E49" s="2" t="s">
        <v>163</v>
      </c>
    </row>
    <row r="50" spans="1:5" ht="15" thickBot="1" x14ac:dyDescent="0.35">
      <c r="A50" s="8">
        <f>_xlfn.NUMBERVALUE(LEFT(Table1[[#This Row],[Instance name]],FIND("_",Table1[[#This Row],[Instance name]])-1))</f>
        <v>49</v>
      </c>
      <c r="B50" s="1" t="s">
        <v>164</v>
      </c>
      <c r="C50" s="1" t="s">
        <v>167</v>
      </c>
      <c r="D50" s="1" t="s">
        <v>165</v>
      </c>
      <c r="E50" s="2" t="s">
        <v>166</v>
      </c>
    </row>
    <row r="51" spans="1:5" ht="15" thickBot="1" x14ac:dyDescent="0.35">
      <c r="A51" s="8">
        <f>_xlfn.NUMBERVALUE(LEFT(Table1[[#This Row],[Instance name]],FIND("_",Table1[[#This Row],[Instance name]])-1))</f>
        <v>50</v>
      </c>
      <c r="B51" s="7" t="s">
        <v>168</v>
      </c>
      <c r="C51" s="1" t="s">
        <v>10</v>
      </c>
      <c r="D51" s="7" t="s">
        <v>169</v>
      </c>
      <c r="E51" s="9" t="s">
        <v>170</v>
      </c>
    </row>
    <row r="52" spans="1:5" ht="15" thickBot="1" x14ac:dyDescent="0.35">
      <c r="A52" s="8">
        <f>_xlfn.NUMBERVALUE(LEFT(Table1[[#This Row],[Instance name]],FIND("_",Table1[[#This Row],[Instance name]])-1))</f>
        <v>51</v>
      </c>
      <c r="B52" s="1" t="s">
        <v>175</v>
      </c>
      <c r="C52" s="1" t="s">
        <v>174</v>
      </c>
      <c r="D52" s="1" t="s">
        <v>176</v>
      </c>
      <c r="E52" s="1" t="s">
        <v>177</v>
      </c>
    </row>
    <row r="53" spans="1:5" ht="15" thickBot="1" x14ac:dyDescent="0.35">
      <c r="A53" s="8">
        <f>_xlfn.NUMBERVALUE(LEFT(Table1[[#This Row],[Instance name]],FIND("_",Table1[[#This Row],[Instance name]])-1))</f>
        <v>52</v>
      </c>
      <c r="B53" s="1" t="s">
        <v>178</v>
      </c>
      <c r="C53" s="1" t="s">
        <v>174</v>
      </c>
      <c r="D53" s="1" t="s">
        <v>176</v>
      </c>
      <c r="E53" s="1" t="s">
        <v>177</v>
      </c>
    </row>
    <row r="54" spans="1:5" ht="15" thickBot="1" x14ac:dyDescent="0.35">
      <c r="A54" s="8">
        <f>_xlfn.NUMBERVALUE(LEFT(Table1[[#This Row],[Instance name]],FIND("_",Table1[[#This Row],[Instance name]])-1))</f>
        <v>53</v>
      </c>
      <c r="B54" s="1" t="s">
        <v>179</v>
      </c>
      <c r="C54" s="1" t="s">
        <v>14</v>
      </c>
      <c r="D54" s="1" t="s">
        <v>176</v>
      </c>
      <c r="E54" s="1" t="s">
        <v>177</v>
      </c>
    </row>
    <row r="55" spans="1:5" ht="15" thickBot="1" x14ac:dyDescent="0.35">
      <c r="A55" s="8">
        <f>_xlfn.NUMBERVALUE(LEFT(Table1[[#This Row],[Instance name]],FIND("_",Table1[[#This Row],[Instance name]])-1))</f>
        <v>54</v>
      </c>
      <c r="B55" s="1" t="s">
        <v>180</v>
      </c>
      <c r="C55" s="1" t="s">
        <v>3</v>
      </c>
      <c r="D55" s="1" t="s">
        <v>181</v>
      </c>
      <c r="E55" s="2" t="s">
        <v>182</v>
      </c>
    </row>
    <row r="56" spans="1:5" ht="27" thickBot="1" x14ac:dyDescent="0.35">
      <c r="A56" s="8">
        <f>_xlfn.NUMBERVALUE(LEFT(Table1[[#This Row],[Instance name]],FIND("_",Table1[[#This Row],[Instance name]])-1))</f>
        <v>55</v>
      </c>
      <c r="B56" s="1" t="s">
        <v>183</v>
      </c>
      <c r="C56" s="1" t="s">
        <v>22</v>
      </c>
      <c r="D56" s="1" t="s">
        <v>184</v>
      </c>
      <c r="E56" s="2" t="s">
        <v>185</v>
      </c>
    </row>
    <row r="57" spans="1:5" ht="27" thickBot="1" x14ac:dyDescent="0.35">
      <c r="A57" s="8">
        <f>_xlfn.NUMBERVALUE(LEFT(Table1[[#This Row],[Instance name]],FIND("_",Table1[[#This Row],[Instance name]])-1))</f>
        <v>56</v>
      </c>
      <c r="B57" s="1" t="s">
        <v>189</v>
      </c>
      <c r="C57" s="1" t="s">
        <v>120</v>
      </c>
      <c r="D57" s="1" t="s">
        <v>187</v>
      </c>
      <c r="E57" s="2" t="s">
        <v>188</v>
      </c>
    </row>
    <row r="58" spans="1:5" ht="29.4" thickBot="1" x14ac:dyDescent="0.35">
      <c r="A58" s="8">
        <f>_xlfn.NUMBERVALUE(LEFT(Table1[[#This Row],[Instance name]],FIND("_",Table1[[#This Row],[Instance name]])-1))</f>
        <v>57</v>
      </c>
      <c r="B58" s="1" t="s">
        <v>190</v>
      </c>
      <c r="C58" s="1" t="s">
        <v>22</v>
      </c>
      <c r="D58" s="1" t="s">
        <v>191</v>
      </c>
      <c r="E58" s="2" t="s">
        <v>192</v>
      </c>
    </row>
    <row r="59" spans="1:5" ht="29.4" thickBot="1" x14ac:dyDescent="0.35">
      <c r="A59" s="8">
        <f>_xlfn.NUMBERVALUE(LEFT(Table1[[#This Row],[Instance name]],FIND("_",Table1[[#This Row],[Instance name]])-1))</f>
        <v>58</v>
      </c>
      <c r="B59" s="1" t="s">
        <v>193</v>
      </c>
      <c r="C59" s="1" t="s">
        <v>101</v>
      </c>
      <c r="D59" s="1" t="s">
        <v>194</v>
      </c>
      <c r="E59" s="2" t="s">
        <v>195</v>
      </c>
    </row>
    <row r="60" spans="1:5" ht="15" thickBot="1" x14ac:dyDescent="0.35">
      <c r="A60" s="8">
        <f>_xlfn.NUMBERVALUE(LEFT(Table1[[#This Row],[Instance name]],FIND("_",Table1[[#This Row],[Instance name]])-1))</f>
        <v>59</v>
      </c>
      <c r="B60" s="1" t="s">
        <v>196</v>
      </c>
      <c r="C60" s="1" t="s">
        <v>101</v>
      </c>
      <c r="D60" s="1" t="s">
        <v>197</v>
      </c>
      <c r="E60" s="2" t="s">
        <v>198</v>
      </c>
    </row>
    <row r="61" spans="1:5" ht="15" thickBot="1" x14ac:dyDescent="0.35">
      <c r="A61" s="8">
        <f>_xlfn.NUMBERVALUE(LEFT(Table1[[#This Row],[Instance name]],FIND("_",Table1[[#This Row],[Instance name]])-1))</f>
        <v>60</v>
      </c>
      <c r="B61" s="1" t="s">
        <v>199</v>
      </c>
      <c r="C61" s="1" t="s">
        <v>14</v>
      </c>
      <c r="D61" s="1" t="s">
        <v>200</v>
      </c>
      <c r="E61" s="2" t="s">
        <v>201</v>
      </c>
    </row>
    <row r="62" spans="1:5" ht="15" thickBot="1" x14ac:dyDescent="0.35">
      <c r="A62" s="8">
        <f>_xlfn.NUMBERVALUE(LEFT(Table1[[#This Row],[Instance name]],FIND("_",Table1[[#This Row],[Instance name]])-1))</f>
        <v>61</v>
      </c>
      <c r="B62" s="1" t="s">
        <v>202</v>
      </c>
      <c r="C62" s="1" t="s">
        <v>14</v>
      </c>
      <c r="D62" s="1" t="s">
        <v>203</v>
      </c>
      <c r="E62" s="2" t="s">
        <v>204</v>
      </c>
    </row>
    <row r="63" spans="1:5" ht="15" thickBot="1" x14ac:dyDescent="0.35">
      <c r="A63" s="8">
        <f>_xlfn.NUMBERVALUE(LEFT(Table1[[#This Row],[Instance name]],FIND("_",Table1[[#This Row],[Instance name]])-1))</f>
        <v>62</v>
      </c>
      <c r="B63" s="1" t="s">
        <v>205</v>
      </c>
      <c r="C63" s="1" t="s">
        <v>208</v>
      </c>
      <c r="D63" s="1" t="s">
        <v>206</v>
      </c>
      <c r="E63" s="2" t="s">
        <v>207</v>
      </c>
    </row>
    <row r="64" spans="1:5" ht="27" thickBot="1" x14ac:dyDescent="0.35">
      <c r="A64" s="8">
        <f>_xlfn.NUMBERVALUE(LEFT(Table1[[#This Row],[Instance name]],FIND("_",Table1[[#This Row],[Instance name]])-1))</f>
        <v>63</v>
      </c>
      <c r="B64" s="1" t="s">
        <v>209</v>
      </c>
      <c r="C64" s="1" t="s">
        <v>101</v>
      </c>
      <c r="D64" s="1" t="s">
        <v>210</v>
      </c>
      <c r="E64" s="1" t="s">
        <v>211</v>
      </c>
    </row>
    <row r="65" spans="1:5" ht="15" thickBot="1" x14ac:dyDescent="0.35">
      <c r="A65" s="8">
        <f>_xlfn.NUMBERVALUE(LEFT(Table1[[#This Row],[Instance name]],FIND("_",Table1[[#This Row],[Instance name]])-1))</f>
        <v>64</v>
      </c>
      <c r="B65" s="1" t="s">
        <v>212</v>
      </c>
      <c r="C65" s="1" t="s">
        <v>68</v>
      </c>
      <c r="D65" s="1" t="s">
        <v>213</v>
      </c>
      <c r="E65" s="2" t="s">
        <v>214</v>
      </c>
    </row>
    <row r="66" spans="1:5" ht="15" thickBot="1" x14ac:dyDescent="0.35">
      <c r="A66" s="8">
        <f>_xlfn.NUMBERVALUE(LEFT(Table1[[#This Row],[Instance name]],FIND("_",Table1[[#This Row],[Instance name]])-1))</f>
        <v>65</v>
      </c>
      <c r="B66" s="1" t="s">
        <v>215</v>
      </c>
      <c r="C66" s="1" t="s">
        <v>14</v>
      </c>
      <c r="D66" s="1" t="s">
        <v>216</v>
      </c>
      <c r="E66" s="2" t="s">
        <v>217</v>
      </c>
    </row>
    <row r="67" spans="1:5" ht="15" thickBot="1" x14ac:dyDescent="0.35">
      <c r="A67" s="8">
        <f>_xlfn.NUMBERVALUE(LEFT(Table1[[#This Row],[Instance name]],FIND("_",Table1[[#This Row],[Instance name]])-1))</f>
        <v>66</v>
      </c>
      <c r="B67" s="1" t="s">
        <v>222</v>
      </c>
      <c r="C67" s="1" t="s">
        <v>14</v>
      </c>
      <c r="D67" s="1" t="s">
        <v>223</v>
      </c>
      <c r="E67" s="2" t="s">
        <v>224</v>
      </c>
    </row>
    <row r="68" spans="1:5" ht="29.4" thickBot="1" x14ac:dyDescent="0.35">
      <c r="A68" s="8">
        <f>_xlfn.NUMBERVALUE(LEFT(Table1[[#This Row],[Instance name]],FIND("_",Table1[[#This Row],[Instance name]])-1))</f>
        <v>67</v>
      </c>
      <c r="B68" s="1" t="s">
        <v>225</v>
      </c>
      <c r="C68" s="1" t="s">
        <v>101</v>
      </c>
      <c r="D68" s="1" t="s">
        <v>226</v>
      </c>
      <c r="E68" s="2" t="s">
        <v>227</v>
      </c>
    </row>
    <row r="69" spans="1:5" ht="15" thickBot="1" x14ac:dyDescent="0.35">
      <c r="A69" s="8">
        <f>_xlfn.NUMBERVALUE(LEFT(Table1[[#This Row],[Instance name]],FIND("_",Table1[[#This Row],[Instance name]])-1))</f>
        <v>68</v>
      </c>
      <c r="B69" s="1" t="s">
        <v>228</v>
      </c>
      <c r="C69" s="1" t="s">
        <v>101</v>
      </c>
      <c r="D69" s="1" t="s">
        <v>229</v>
      </c>
      <c r="E69" s="2" t="s">
        <v>230</v>
      </c>
    </row>
    <row r="70" spans="1:5" ht="15" thickBot="1" x14ac:dyDescent="0.35">
      <c r="A70" s="8">
        <f>_xlfn.NUMBERVALUE(LEFT(Table1[[#This Row],[Instance name]],FIND("_",Table1[[#This Row],[Instance name]])-1))</f>
        <v>69</v>
      </c>
      <c r="B70" s="1" t="s">
        <v>231</v>
      </c>
      <c r="C70" s="1" t="s">
        <v>234</v>
      </c>
      <c r="D70" s="1" t="s">
        <v>232</v>
      </c>
      <c r="E70" s="2" t="s">
        <v>233</v>
      </c>
    </row>
    <row r="71" spans="1:5" ht="15" thickBot="1" x14ac:dyDescent="0.35">
      <c r="A71" s="8">
        <f>_xlfn.NUMBERVALUE(LEFT(Table1[[#This Row],[Instance name]],FIND("_",Table1[[#This Row],[Instance name]])-1))</f>
        <v>70</v>
      </c>
      <c r="B71" s="1" t="s">
        <v>235</v>
      </c>
      <c r="C71" s="1" t="s">
        <v>238</v>
      </c>
      <c r="D71" s="1" t="s">
        <v>236</v>
      </c>
      <c r="E71" s="2" t="s">
        <v>237</v>
      </c>
    </row>
    <row r="72" spans="1:5" ht="27" thickBot="1" x14ac:dyDescent="0.35">
      <c r="A72" s="8">
        <f>_xlfn.NUMBERVALUE(LEFT(Table1[[#This Row],[Instance name]],FIND("_",Table1[[#This Row],[Instance name]])-1))</f>
        <v>71</v>
      </c>
      <c r="B72" s="1" t="s">
        <v>239</v>
      </c>
      <c r="C72" s="1" t="s">
        <v>238</v>
      </c>
      <c r="D72" s="1" t="s">
        <v>240</v>
      </c>
      <c r="E72" s="2" t="s">
        <v>241</v>
      </c>
    </row>
    <row r="73" spans="1:5" ht="27" thickBot="1" x14ac:dyDescent="0.35">
      <c r="A73" s="8">
        <f>_xlfn.NUMBERVALUE(LEFT(Table1[[#This Row],[Instance name]],FIND("_",Table1[[#This Row],[Instance name]])-1))</f>
        <v>72</v>
      </c>
      <c r="B73" s="1" t="s">
        <v>242</v>
      </c>
      <c r="C73" s="18"/>
      <c r="D73" s="1" t="s">
        <v>240</v>
      </c>
      <c r="E73" s="2" t="s">
        <v>241</v>
      </c>
    </row>
    <row r="74" spans="1:5" ht="27" thickBot="1" x14ac:dyDescent="0.35">
      <c r="A74" s="8">
        <f>_xlfn.NUMBERVALUE(LEFT(Table1[[#This Row],[Instance name]],FIND("_",Table1[[#This Row],[Instance name]])-1))</f>
        <v>101</v>
      </c>
      <c r="B74" s="1" t="s">
        <v>11</v>
      </c>
      <c r="C74" s="1" t="s">
        <v>14</v>
      </c>
      <c r="D74" s="1" t="s">
        <v>12</v>
      </c>
      <c r="E74" s="2" t="s">
        <v>13</v>
      </c>
    </row>
    <row r="75" spans="1:5" ht="27" thickBot="1" x14ac:dyDescent="0.35">
      <c r="A75" s="8">
        <f>_xlfn.NUMBERVALUE(LEFT(Table1[[#This Row],[Instance name]],FIND("_",Table1[[#This Row],[Instance name]])-1))</f>
        <v>102</v>
      </c>
      <c r="B75" s="1" t="s">
        <v>30</v>
      </c>
      <c r="C75" s="1" t="s">
        <v>14</v>
      </c>
      <c r="D75" s="1" t="s">
        <v>31</v>
      </c>
      <c r="E75" s="2" t="s">
        <v>32</v>
      </c>
    </row>
    <row r="76" spans="1:5" ht="27" thickBot="1" x14ac:dyDescent="0.35">
      <c r="A76" s="8">
        <f>_xlfn.NUMBERVALUE(LEFT(Table1[[#This Row],[Instance name]],FIND("_",Table1[[#This Row],[Instance name]])-1))</f>
        <v>103</v>
      </c>
      <c r="B76" s="1" t="s">
        <v>50</v>
      </c>
      <c r="C76" s="1" t="s">
        <v>39</v>
      </c>
      <c r="D76" s="1" t="s">
        <v>48</v>
      </c>
      <c r="E76" s="2" t="s">
        <v>49</v>
      </c>
    </row>
    <row r="77" spans="1:5" ht="27" thickBot="1" x14ac:dyDescent="0.35">
      <c r="A77" s="8">
        <f>_xlfn.NUMBERVALUE(LEFT(Table1[[#This Row],[Instance name]],FIND("_",Table1[[#This Row],[Instance name]])-1))</f>
        <v>104</v>
      </c>
      <c r="B77" s="1" t="s">
        <v>51</v>
      </c>
      <c r="C77" s="1" t="s">
        <v>39</v>
      </c>
      <c r="D77" s="1" t="s">
        <v>52</v>
      </c>
      <c r="E77" s="2" t="s">
        <v>53</v>
      </c>
    </row>
    <row r="78" spans="1:5" ht="27" thickBot="1" x14ac:dyDescent="0.35">
      <c r="A78" s="8">
        <f>_xlfn.NUMBERVALUE(LEFT(Table1[[#This Row],[Instance name]],FIND("_",Table1[[#This Row],[Instance name]])-1))</f>
        <v>105</v>
      </c>
      <c r="B78" s="1" t="s">
        <v>90</v>
      </c>
      <c r="C78" s="1" t="s">
        <v>93</v>
      </c>
      <c r="D78" s="1" t="s">
        <v>91</v>
      </c>
      <c r="E78" s="2" t="s">
        <v>92</v>
      </c>
    </row>
    <row r="79" spans="1:5" ht="27" thickBot="1" x14ac:dyDescent="0.35">
      <c r="A79" s="8">
        <f>_xlfn.NUMBERVALUE(LEFT(Table1[[#This Row],[Instance name]],FIND("_",Table1[[#This Row],[Instance name]])-1))</f>
        <v>106</v>
      </c>
      <c r="B79" s="1" t="s">
        <v>137</v>
      </c>
      <c r="C79" s="1" t="s">
        <v>140</v>
      </c>
      <c r="D79" s="1" t="s">
        <v>138</v>
      </c>
      <c r="E79" s="2" t="s">
        <v>139</v>
      </c>
    </row>
    <row r="80" spans="1:5" ht="27" thickBot="1" x14ac:dyDescent="0.35">
      <c r="A80" s="8">
        <f>_xlfn.NUMBERVALUE(LEFT(Table1[[#This Row],[Instance name]],FIND("_",Table1[[#This Row],[Instance name]])-1))</f>
        <v>107</v>
      </c>
      <c r="B80" s="1" t="s">
        <v>142</v>
      </c>
      <c r="C80" s="1" t="s">
        <v>140</v>
      </c>
      <c r="D80" s="1" t="s">
        <v>249</v>
      </c>
      <c r="E80" s="8" t="s">
        <v>245</v>
      </c>
    </row>
    <row r="81" spans="1:5" ht="27" thickBot="1" x14ac:dyDescent="0.35">
      <c r="A81" s="8">
        <f>_xlfn.NUMBERVALUE(LEFT(Table1[[#This Row],[Instance name]],FIND("_",Table1[[#This Row],[Instance name]])-1))</f>
        <v>108</v>
      </c>
      <c r="B81" s="1" t="s">
        <v>143</v>
      </c>
      <c r="C81" s="1" t="s">
        <v>140</v>
      </c>
      <c r="D81" s="1" t="s">
        <v>248</v>
      </c>
      <c r="E81" s="8" t="s">
        <v>245</v>
      </c>
    </row>
    <row r="82" spans="1:5" ht="27" thickBot="1" x14ac:dyDescent="0.35">
      <c r="A82" s="8">
        <f>_xlfn.NUMBERVALUE(LEFT(Table1[[#This Row],[Instance name]],FIND("_",Table1[[#This Row],[Instance name]])-1))</f>
        <v>109</v>
      </c>
      <c r="B82" s="1" t="s">
        <v>147</v>
      </c>
      <c r="C82" s="1" t="s">
        <v>89</v>
      </c>
      <c r="D82" s="1" t="s">
        <v>247</v>
      </c>
      <c r="E82" s="8" t="s">
        <v>245</v>
      </c>
    </row>
    <row r="83" spans="1:5" ht="27" thickBot="1" x14ac:dyDescent="0.35">
      <c r="A83" s="8">
        <f>_xlfn.NUMBERVALUE(LEFT(Table1[[#This Row],[Instance name]],FIND("_",Table1[[#This Row],[Instance name]])-1))</f>
        <v>110</v>
      </c>
      <c r="B83" s="1" t="s">
        <v>171</v>
      </c>
      <c r="C83" s="1" t="s">
        <v>174</v>
      </c>
      <c r="D83" s="1" t="s">
        <v>172</v>
      </c>
      <c r="E83" s="2" t="s">
        <v>173</v>
      </c>
    </row>
    <row r="84" spans="1:5" ht="27" thickBot="1" x14ac:dyDescent="0.35">
      <c r="A84" s="8">
        <f>_xlfn.NUMBERVALUE(LEFT(Table1[[#This Row],[Instance name]],FIND("_",Table1[[#This Row],[Instance name]])-1))</f>
        <v>111</v>
      </c>
      <c r="B84" s="1" t="s">
        <v>186</v>
      </c>
      <c r="C84" s="1" t="s">
        <v>22</v>
      </c>
      <c r="D84" s="1" t="s">
        <v>187</v>
      </c>
      <c r="E84" s="2" t="s">
        <v>188</v>
      </c>
    </row>
    <row r="85" spans="1:5" ht="27" thickBot="1" x14ac:dyDescent="0.35">
      <c r="A85" s="8">
        <f>_xlfn.NUMBERVALUE(LEFT(Table1[[#This Row],[Instance name]],FIND("_",Table1[[#This Row],[Instance name]])-1))</f>
        <v>112</v>
      </c>
      <c r="B85" s="1" t="s">
        <v>218</v>
      </c>
      <c r="C85" s="1" t="s">
        <v>221</v>
      </c>
      <c r="D85" s="1" t="s">
        <v>219</v>
      </c>
      <c r="E85" s="2" t="s">
        <v>220</v>
      </c>
    </row>
    <row r="86" spans="1:5" ht="15" thickBot="1" x14ac:dyDescent="0.35">
      <c r="A86" s="8">
        <f>_xlfn.NUMBERVALUE(LEFT(Table1[[#This Row],[Instance name]],FIND("_",Table1[[#This Row],[Instance name]])-1))</f>
        <v>201</v>
      </c>
      <c r="B86" s="1" t="s">
        <v>141</v>
      </c>
      <c r="C86" s="1" t="s">
        <v>140</v>
      </c>
      <c r="D86" s="1" t="s">
        <v>244</v>
      </c>
      <c r="E86" s="8" t="s">
        <v>245</v>
      </c>
    </row>
    <row r="87" spans="1:5" ht="15" thickBot="1" x14ac:dyDescent="0.35">
      <c r="A87" s="15">
        <f>_xlfn.NUMBERVALUE(LEFT(Table1[[#This Row],[Instance name]],FIND("_",Table1[[#This Row],[Instance name]])-1))</f>
        <v>202</v>
      </c>
      <c r="B87" s="1" t="s">
        <v>146</v>
      </c>
      <c r="C87" s="17" t="s">
        <v>140</v>
      </c>
      <c r="D87" s="1" t="s">
        <v>246</v>
      </c>
      <c r="E87" s="8" t="s">
        <v>245</v>
      </c>
    </row>
  </sheetData>
  <hyperlinks>
    <hyperlink ref="E25" r:id="rId1" xr:uid="{CF1CA7E4-1336-471E-AC81-9E6EAF8A3FC2}"/>
    <hyperlink ref="E51" r:id="rId2" xr:uid="{637B2B35-D918-451E-91A3-55DB05A7C8F9}"/>
    <hyperlink ref="E60" r:id="rId3" xr:uid="{9A3CE231-B533-46E2-ABF7-285345A3EA80}"/>
    <hyperlink ref="E38" r:id="rId4" xr:uid="{6E11B99C-E4BC-4D40-A978-B89148CECB49}"/>
    <hyperlink ref="E61" r:id="rId5" xr:uid="{2BB1BEF7-2F60-4E13-A7D1-21875E698234}"/>
    <hyperlink ref="E69" r:id="rId6" xr:uid="{B0277E21-ACFC-4D5F-A4AC-8A1786F644F5}"/>
    <hyperlink ref="E6" r:id="rId7" xr:uid="{96BF8E31-C2ED-4750-A805-125A694CFF62}"/>
    <hyperlink ref="E9" r:id="rId8" xr:uid="{DE089EC9-3830-4CC9-AC0B-37AAA654D3D8}"/>
    <hyperlink ref="E14" r:id="rId9" xr:uid="{7CB247A8-5BCC-43AD-A30A-E9C00D688E94}"/>
    <hyperlink ref="E15" r:id="rId10" xr:uid="{0D3631C0-1CDD-4085-ADC5-57306764F08F}"/>
    <hyperlink ref="E17" r:id="rId11" xr:uid="{C94744CB-51E9-44BF-9DB3-1885B717CCD5}"/>
    <hyperlink ref="E45" r:id="rId12" xr:uid="{0BACD8A8-4E0B-4D4E-853D-2846AB5E8008}"/>
    <hyperlink ref="E65" r:id="rId13" xr:uid="{EDA78AA9-53D2-4720-AA1F-8F5614859FF1}"/>
    <hyperlink ref="E67" r:id="rId14" xr:uid="{23E1DD49-1B23-4A58-B903-3D995D8C968E}"/>
    <hyperlink ref="E71" r:id="rId15" xr:uid="{A44421AB-B381-4FB5-AC6F-F14975CF076C}"/>
    <hyperlink ref="E46" r:id="rId16" xr:uid="{3348852A-A700-40E0-BAD3-10C0DC1BE7B7}"/>
    <hyperlink ref="E47" r:id="rId17" xr:uid="{60964EE4-5237-4A61-AEE0-C2D8273E7FD3}"/>
    <hyperlink ref="E48" r:id="rId18" xr:uid="{8880229E-DFD3-4E56-90C2-3DB3395B1732}"/>
    <hyperlink ref="E11" r:id="rId19" xr:uid="{30E2DB0B-2D06-456D-B557-6E10796A19FF}"/>
    <hyperlink ref="E35" r:id="rId20" xr:uid="{73EB2080-09D9-4314-8DAA-2274A1712539}"/>
    <hyperlink ref="E36" r:id="rId21" xr:uid="{83B22DC7-0C55-44EA-9DC9-7146D79BD0DA}"/>
    <hyperlink ref="E58" r:id="rId22" xr:uid="{A21D5017-7DB6-4171-87B0-FD08277587D5}"/>
    <hyperlink ref="E12" r:id="rId23" xr:uid="{009465BA-D992-42BC-8B42-DA551CAB2253}"/>
    <hyperlink ref="E76" r:id="rId24" xr:uid="{FCA02523-34BB-4A02-B750-43571DF9BD69}"/>
    <hyperlink ref="E32" r:id="rId25" xr:uid="{BE428E2D-DE66-410F-8B04-4DF14B9EAF6D}"/>
    <hyperlink ref="E57" r:id="rId26" xr:uid="{E2D9233C-50B8-49A1-8961-8B3BDA526BE2}"/>
    <hyperlink ref="E84" r:id="rId27" xr:uid="{B3D8EE11-B9F4-4508-A779-0803465AD5F9}"/>
    <hyperlink ref="E79" r:id="rId28" xr:uid="{19BB23B3-9343-4C8B-AABC-FBAB9ED3498D}"/>
    <hyperlink ref="E39" r:id="rId29" xr:uid="{BF7D7E5F-DC73-4D1F-AFBF-49006C3FEF08}"/>
    <hyperlink ref="E83" r:id="rId30" xr:uid="{E76CE23E-01D9-4774-A4A9-0DE87042F282}"/>
    <hyperlink ref="E30" r:id="rId31" xr:uid="{2FB051A6-DC8B-45FE-B6CF-E30AB316C0FA}"/>
    <hyperlink ref="E10" r:id="rId32" xr:uid="{8B4DC4D6-AC5B-45D4-A7A3-E8607680F8EF}"/>
    <hyperlink ref="E13" r:id="rId33" xr:uid="{B9C215AE-E2B8-49A4-A165-9472C58B010A}"/>
    <hyperlink ref="E31" r:id="rId34" xr:uid="{9F1E156E-C129-4411-BFD6-ADD0C5465AD4}"/>
    <hyperlink ref="E78" r:id="rId35" xr:uid="{66350DD9-EC04-4564-82D8-84BAFBAA4C08}"/>
    <hyperlink ref="E33" r:id="rId36" xr:uid="{E96D8E50-0F55-4F2F-B8F6-33761D049B26}"/>
    <hyperlink ref="E34" r:id="rId37" xr:uid="{D84B056A-BFF0-4637-AC0C-C76F1E1B5EFA}"/>
    <hyperlink ref="E43" r:id="rId38" xr:uid="{7EA2E294-E3B6-477B-870F-888CF6B3BA21}"/>
    <hyperlink ref="E44" r:id="rId39" xr:uid="{8BC3CC51-D4F5-4BFA-8C69-933CFAA27751}"/>
    <hyperlink ref="E16" r:id="rId40" xr:uid="{BF822055-D039-49A2-916C-BFB81753431D}"/>
    <hyperlink ref="E24" r:id="rId41" xr:uid="{D955E6F2-7203-493E-957E-ECFAB28355B7}"/>
    <hyperlink ref="E26" r:id="rId42" xr:uid="{AEBE843D-FDE5-4102-89E4-4818115334C9}"/>
    <hyperlink ref="E27" r:id="rId43" xr:uid="{52B9139A-4A7B-4996-BC31-389CC01CC6FA}"/>
    <hyperlink ref="E72" r:id="rId44" xr:uid="{D2991EAA-538F-4B15-B5BC-D17FDF77F11D}"/>
    <hyperlink ref="E73" r:id="rId45" xr:uid="{3179E85D-03C2-4F5C-A665-2397A7BC9C4D}"/>
    <hyperlink ref="E7" r:id="rId46" display="https://portal.so.ucr.ac.cr/sites/default/files/documents/2017_Analysis of Loan Application Process Using Process Mining.pdf" xr:uid="{38067E1A-28B6-49F8-A77A-F47984C48785}"/>
    <hyperlink ref="E49" r:id="rId47" xr:uid="{566314B6-7B05-4F27-9CCF-751EA18EECF9}"/>
    <hyperlink ref="E59" r:id="rId48" xr:uid="{4CBBBC22-ADF0-4FA6-A8F2-A0D5C2047BE6}"/>
    <hyperlink ref="E63" r:id="rId49" xr:uid="{A2802774-40A5-4F10-B5AC-590754890D38}"/>
    <hyperlink ref="E68" r:id="rId50" xr:uid="{C693B1A3-BC25-4D7E-8A69-C2EFA58858E4}"/>
    <hyperlink ref="E8" r:id="rId51" xr:uid="{76A2C30C-821E-48F8-B8AC-34836A33FECC}"/>
    <hyperlink ref="E2" r:id="rId52" xr:uid="{0C40B920-85AA-4EBD-942C-6D362E066F93}"/>
    <hyperlink ref="E4" r:id="rId53" xr:uid="{FB43C47B-080B-425D-AE49-7CB66FFCA877}"/>
    <hyperlink ref="E19" r:id="rId54" xr:uid="{ADA410F7-2033-42E9-893C-C73BEC52BBB3}"/>
    <hyperlink ref="E85" r:id="rId55" xr:uid="{C68CE6CF-B1D8-4496-8ACA-B22291EF52D0}"/>
    <hyperlink ref="E18" r:id="rId56" xr:uid="{689C7FE7-936A-4F5D-8BE8-0E06ACB96066}"/>
    <hyperlink ref="E3" r:id="rId57" xr:uid="{56931A3E-09F5-4F5F-94F1-E75BB9C6DFC6}"/>
    <hyperlink ref="E56" r:id="rId58" xr:uid="{2E6A6A58-722B-4B19-B4B8-9398626D7004}"/>
    <hyperlink ref="E66" r:id="rId59" display="https://doi.org/10.1088/1742-6596/1986/1/012102?urlappend=%3Futm_source%3Dresearchgate.net%26medium%3Darticle" xr:uid="{E41E8DBF-54EA-4416-A23A-A0A78B3D3697}"/>
    <hyperlink ref="E29" r:id="rId60" xr:uid="{1E5241C9-DBD6-4C59-AFAC-6620AE75E3AE}"/>
    <hyperlink ref="E28" r:id="rId61" xr:uid="{297F2160-7FDA-4E61-8889-0B71276CD383}"/>
    <hyperlink ref="E50" r:id="rId62" xr:uid="{72EECF10-CECD-464C-BB04-C3AB1A2473B5}"/>
    <hyperlink ref="E70" r:id="rId63" xr:uid="{DCECEEEA-CC5C-4A5C-997B-17BED3201EE9}"/>
    <hyperlink ref="E5" r:id="rId64" xr:uid="{00A5E618-BEB1-45F3-A05E-F2CC3A86EBE1}"/>
    <hyperlink ref="E74" r:id="rId65" xr:uid="{FE8EA63D-DF79-4D3A-A081-43562A92D5E5}"/>
    <hyperlink ref="E55" r:id="rId66" xr:uid="{E6C3BB6B-F8FC-42D8-8A3B-069A6360CF02}"/>
    <hyperlink ref="E77" r:id="rId67" xr:uid="{6182ED48-FC33-4E17-89BD-BF1C73B01713}"/>
  </hyperlinks>
  <pageMargins left="0.25" right="0.25" top="0.75" bottom="0.75" header="0.3" footer="0.3"/>
  <pageSetup paperSize="9" scale="67" fitToHeight="0" orientation="landscape" r:id="rId68"/>
  <tableParts count="1">
    <tablePart r:id="rId6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Klima, Matej</dc:creator>
  <cp:lastModifiedBy>Klima, Matej</cp:lastModifiedBy>
  <cp:lastPrinted>2026-01-12T10:45:45Z</cp:lastPrinted>
  <dcterms:created xsi:type="dcterms:W3CDTF">2026-01-12T10:26:07Z</dcterms:created>
  <dcterms:modified xsi:type="dcterms:W3CDTF">2026-01-12T10:49:48Z</dcterms:modified>
</cp:coreProperties>
</file>